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2" activeTab="3" xr2:uid="{00000000-000D-0000-FFFF-FFFF00000000}"/>
  </bookViews>
  <sheets>
    <sheet name="사용안내" sheetId="1" r:id="rId1"/>
    <sheet name="검증" sheetId="2" r:id="rId2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</sheets>
  <functionGroups builtInGroupCount="19"/>
  <definedNames>
    <definedName name="_xlnm._FilterDatabase" localSheetId="1" hidden="1">검증!$A$4:$Q$16</definedName>
    <definedName name="_xlnm._FilterDatabase" localSheetId="28" hidden="1">RAW!$A$1:$S$2453</definedName>
    <definedName name="_xlnm.Print_Area" localSheetId="22">'10월'!$A$1:$V$86</definedName>
    <definedName name="_xlnm.Print_Area" localSheetId="23">'10월계산기'!$A$1:$W$155</definedName>
    <definedName name="_xlnm.Print_Area" localSheetId="24">'11월'!$A$1:$V$70</definedName>
    <definedName name="_xlnm.Print_Area" localSheetId="25">'11월계산기'!$A$1:$W$155</definedName>
    <definedName name="_xlnm.Print_Area" localSheetId="26">'12월'!$A$1:$V$70</definedName>
    <definedName name="_xlnm.Print_Area" localSheetId="27">'12월계산기'!$A$1:$W$155</definedName>
    <definedName name="_xlnm.Print_Area" localSheetId="4">'1월'!$A$1:$V$70</definedName>
    <definedName name="_xlnm.Print_Area" localSheetId="5">'1월계산기'!$A$1:$W$155</definedName>
    <definedName name="_xlnm.Print_Area" localSheetId="6">'2월'!$A$1:$V$70</definedName>
    <definedName name="_xlnm.Print_Area" localSheetId="7">'2월계산기'!$A$1:$W$155</definedName>
    <definedName name="_xlnm.Print_Area" localSheetId="8">'3월'!$A$1:$V$70</definedName>
    <definedName name="_xlnm.Print_Area" localSheetId="9">'3월계산기'!$A$1:$W$155</definedName>
    <definedName name="_xlnm.Print_Area" localSheetId="10">'4월'!$A$1:$V$70</definedName>
    <definedName name="_xlnm.Print_Area" localSheetId="11">'4월계산기'!$A$1:$W$155</definedName>
    <definedName name="_xlnm.Print_Area" localSheetId="12">'5월'!$A$1:$V$70</definedName>
    <definedName name="_xlnm.Print_Area" localSheetId="13">'5월계산기'!$A$1:$W$155</definedName>
    <definedName name="_xlnm.Print_Area" localSheetId="14">'6월'!$A$1:$V$70</definedName>
    <definedName name="_xlnm.Print_Area" localSheetId="15">'6월계산기'!$A$1:$W$155</definedName>
    <definedName name="_xlnm.Print_Area" localSheetId="16">'7월'!$A$1:$V$70</definedName>
    <definedName name="_xlnm.Print_Area" localSheetId="17">'7월계산기'!$A$1:$W$155</definedName>
    <definedName name="_xlnm.Print_Area" localSheetId="18">'8월'!$A$1:$V$70</definedName>
    <definedName name="_xlnm.Print_Area" localSheetId="19">'8월계산기'!$A$1:$W$155</definedName>
    <definedName name="_xlnm.Print_Area" localSheetId="20">'9월'!$A$1:$V$70</definedName>
    <definedName name="_xlnm.Print_Area" localSheetId="21">'9월계산기'!$A$1:$W$155</definedName>
    <definedName name="_xlnm.Print_Area" localSheetId="1">검증!$A$1:$Q$175</definedName>
    <definedName name="_xlnm.Print_Area" localSheetId="3">잔액!$A$1:$L$60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53" i="29" l="1"/>
  <c r="N2452" i="29"/>
  <c r="N2451" i="29"/>
  <c r="N2450" i="29"/>
  <c r="N2449" i="29"/>
  <c r="N2448" i="29"/>
  <c r="N2447" i="29"/>
  <c r="N2446" i="29"/>
  <c r="N2445" i="29"/>
  <c r="N2444" i="29"/>
  <c r="N2443" i="29"/>
  <c r="N2442" i="29"/>
  <c r="N2441" i="29"/>
  <c r="N2440" i="29"/>
  <c r="N2439" i="29"/>
  <c r="N2438" i="29"/>
  <c r="N2437" i="29"/>
  <c r="N2436" i="29"/>
  <c r="N2435" i="29"/>
  <c r="N2434" i="29"/>
  <c r="N2433" i="29"/>
  <c r="N2432" i="29"/>
  <c r="N2431" i="29"/>
  <c r="N2430" i="29"/>
  <c r="N2429" i="29"/>
  <c r="N2428" i="29"/>
  <c r="N2427" i="29"/>
  <c r="N2426" i="29"/>
  <c r="N2425" i="29"/>
  <c r="N2424" i="29"/>
  <c r="N2423" i="29"/>
  <c r="N2422" i="29"/>
  <c r="N2421" i="29"/>
  <c r="N2420" i="29"/>
  <c r="N2419" i="29"/>
  <c r="N2418" i="29"/>
  <c r="N2417" i="29"/>
  <c r="N2416" i="29"/>
  <c r="N2415" i="29"/>
  <c r="N2414" i="29"/>
  <c r="N2413" i="29"/>
  <c r="N2412" i="29"/>
  <c r="N2411" i="29"/>
  <c r="N2410" i="29"/>
  <c r="N2409" i="29"/>
  <c r="N2408" i="29"/>
  <c r="N2407" i="29"/>
  <c r="N2406" i="29"/>
  <c r="N2405" i="29"/>
  <c r="N2404" i="29"/>
  <c r="N2403" i="29"/>
  <c r="N2402" i="29"/>
  <c r="N2401" i="29"/>
  <c r="N2400" i="29"/>
  <c r="N2399" i="29"/>
  <c r="N2398" i="29"/>
  <c r="N2397" i="29"/>
  <c r="N2396" i="29"/>
  <c r="N2395" i="29"/>
  <c r="N2394" i="29"/>
  <c r="N2393" i="29"/>
  <c r="N2392" i="29"/>
  <c r="N2391" i="29"/>
  <c r="N2390" i="29"/>
  <c r="N2389" i="29"/>
  <c r="N2388" i="29"/>
  <c r="N2387" i="29"/>
  <c r="N2386" i="29"/>
  <c r="N2385" i="29"/>
  <c r="N2384" i="29"/>
  <c r="N2383" i="29"/>
  <c r="N2382" i="29"/>
  <c r="N2381" i="29"/>
  <c r="N2380" i="29"/>
  <c r="N2379" i="29"/>
  <c r="N2378" i="29"/>
  <c r="N2377" i="29"/>
  <c r="N2376" i="29"/>
  <c r="N2375" i="29"/>
  <c r="N2374" i="29"/>
  <c r="N2373" i="29"/>
  <c r="N2372" i="29"/>
  <c r="N2371" i="29"/>
  <c r="N2370" i="29"/>
  <c r="N2369" i="29"/>
  <c r="N2368" i="29"/>
  <c r="N2367" i="29"/>
  <c r="N2366" i="29"/>
  <c r="N2365" i="29"/>
  <c r="N2364" i="29"/>
  <c r="N2363" i="29"/>
  <c r="N2362" i="29"/>
  <c r="N2361" i="29"/>
  <c r="N2360" i="29"/>
  <c r="N2359" i="29"/>
  <c r="N2358" i="29"/>
  <c r="N2357" i="29"/>
  <c r="N2356" i="29"/>
  <c r="N2355" i="29"/>
  <c r="N2354" i="29"/>
  <c r="N2353" i="29"/>
  <c r="N2352" i="29"/>
  <c r="N2351" i="29"/>
  <c r="N2350" i="29"/>
  <c r="N2349" i="29"/>
  <c r="N2348" i="29"/>
  <c r="N2347" i="29"/>
  <c r="N2346" i="29"/>
  <c r="N2345" i="29"/>
  <c r="N2344" i="29"/>
  <c r="N2343" i="29"/>
  <c r="N2342" i="29"/>
  <c r="N2341" i="29"/>
  <c r="N2340" i="29"/>
  <c r="N2339" i="29"/>
  <c r="N2338" i="29"/>
  <c r="N2337" i="29"/>
  <c r="N2336" i="29"/>
  <c r="N2335" i="29"/>
  <c r="N2334" i="29"/>
  <c r="N2333" i="29"/>
  <c r="N2332" i="29"/>
  <c r="N2331" i="29"/>
  <c r="N2330" i="29"/>
  <c r="N2329" i="29"/>
  <c r="N2328" i="29"/>
  <c r="N2327" i="29"/>
  <c r="N2326" i="29"/>
  <c r="N2325" i="29"/>
  <c r="N2324" i="29"/>
  <c r="N2323" i="29"/>
  <c r="I151" i="28"/>
  <c r="A146" i="28"/>
  <c r="W17" i="28"/>
  <c r="W15" i="28"/>
  <c r="I152" i="28" s="1"/>
  <c r="Q69" i="27"/>
  <c r="P68" i="27"/>
  <c r="P67" i="27"/>
  <c r="P66" i="27"/>
  <c r="P65" i="27"/>
  <c r="P64" i="27"/>
  <c r="H61" i="27"/>
  <c r="F61" i="27"/>
  <c r="N60" i="27"/>
  <c r="M60" i="27"/>
  <c r="H60" i="27"/>
  <c r="F60" i="27"/>
  <c r="O59" i="27"/>
  <c r="H59" i="27"/>
  <c r="F59" i="27"/>
  <c r="O58" i="27"/>
  <c r="H58" i="27"/>
  <c r="F58" i="27"/>
  <c r="O57" i="27"/>
  <c r="H57" i="27"/>
  <c r="F57" i="27"/>
  <c r="H56" i="27"/>
  <c r="F56" i="27"/>
  <c r="H55" i="27"/>
  <c r="F55" i="27"/>
  <c r="H54" i="27"/>
  <c r="F54" i="27"/>
  <c r="H53" i="27"/>
  <c r="F53" i="27"/>
  <c r="H52" i="27"/>
  <c r="F52" i="27"/>
  <c r="N44" i="27"/>
  <c r="H40" i="27" s="1"/>
  <c r="M44" i="27"/>
  <c r="O43" i="27"/>
  <c r="I43" i="27"/>
  <c r="O42" i="27"/>
  <c r="I42" i="27"/>
  <c r="H42" i="27"/>
  <c r="O41" i="27"/>
  <c r="C41" i="27"/>
  <c r="O40" i="27"/>
  <c r="I40" i="27"/>
  <c r="O39" i="27"/>
  <c r="O38" i="27"/>
  <c r="O37" i="27"/>
  <c r="M31" i="27"/>
  <c r="K27" i="27"/>
  <c r="E26" i="27"/>
  <c r="D26" i="27"/>
  <c r="C26" i="27"/>
  <c r="B26" i="27"/>
  <c r="I26" i="27" s="1"/>
  <c r="I25" i="27"/>
  <c r="Q24" i="27"/>
  <c r="R24" i="27" s="1"/>
  <c r="I24" i="27"/>
  <c r="Q23" i="27"/>
  <c r="R23" i="27" s="1"/>
  <c r="Q22" i="27"/>
  <c r="R22" i="27" s="1"/>
  <c r="Q21" i="27"/>
  <c r="R21" i="27" s="1"/>
  <c r="H21" i="27"/>
  <c r="G21" i="27"/>
  <c r="F21" i="27"/>
  <c r="E21" i="27"/>
  <c r="D21" i="27"/>
  <c r="C21" i="27"/>
  <c r="B21" i="27"/>
  <c r="Q20" i="27"/>
  <c r="R20" i="27" s="1"/>
  <c r="I20" i="27"/>
  <c r="R19" i="27"/>
  <c r="Q19" i="27"/>
  <c r="I19" i="27"/>
  <c r="Q18" i="27"/>
  <c r="R18" i="27" s="1"/>
  <c r="Q17" i="27"/>
  <c r="R17" i="27" s="1"/>
  <c r="Q16" i="27"/>
  <c r="R16" i="27" s="1"/>
  <c r="H16" i="27"/>
  <c r="G16" i="27"/>
  <c r="F16" i="27"/>
  <c r="E16" i="27"/>
  <c r="D16" i="27"/>
  <c r="C16" i="27"/>
  <c r="B16" i="27"/>
  <c r="Q15" i="27"/>
  <c r="R15" i="27" s="1"/>
  <c r="I15" i="27"/>
  <c r="Q14" i="27"/>
  <c r="R14" i="27" s="1"/>
  <c r="I14" i="27"/>
  <c r="Q13" i="27"/>
  <c r="R13" i="27" s="1"/>
  <c r="Q12" i="27"/>
  <c r="R12" i="27" s="1"/>
  <c r="Q11" i="27"/>
  <c r="R11" i="27" s="1"/>
  <c r="H11" i="27"/>
  <c r="G11" i="27"/>
  <c r="F11" i="27"/>
  <c r="E11" i="27"/>
  <c r="D11" i="27"/>
  <c r="C11" i="27"/>
  <c r="B11" i="27"/>
  <c r="Q10" i="27"/>
  <c r="R10" i="27" s="1"/>
  <c r="I10" i="27"/>
  <c r="Q9" i="27"/>
  <c r="R9" i="27" s="1"/>
  <c r="I9" i="27"/>
  <c r="Q8" i="27"/>
  <c r="R8" i="27" s="1"/>
  <c r="Q7" i="27"/>
  <c r="R7" i="27" s="1"/>
  <c r="Q6" i="27"/>
  <c r="H6" i="27"/>
  <c r="G6" i="27"/>
  <c r="F6" i="27"/>
  <c r="E6" i="27"/>
  <c r="D6" i="27"/>
  <c r="C6" i="27"/>
  <c r="Q5" i="27"/>
  <c r="R5" i="27" s="1"/>
  <c r="I5" i="27"/>
  <c r="Q4" i="27"/>
  <c r="R4" i="27" s="1"/>
  <c r="I4" i="27"/>
  <c r="I151" i="26"/>
  <c r="A146" i="26"/>
  <c r="W17" i="26"/>
  <c r="W15" i="26"/>
  <c r="Q69" i="25"/>
  <c r="P68" i="25"/>
  <c r="P67" i="25"/>
  <c r="P66" i="25"/>
  <c r="P65" i="25"/>
  <c r="P64" i="25"/>
  <c r="H61" i="25"/>
  <c r="F61" i="25"/>
  <c r="N60" i="25"/>
  <c r="M60" i="25"/>
  <c r="H60" i="25"/>
  <c r="F60" i="25"/>
  <c r="O59" i="25"/>
  <c r="H59" i="25"/>
  <c r="F59" i="25"/>
  <c r="O58" i="25"/>
  <c r="H58" i="25"/>
  <c r="F58" i="25"/>
  <c r="O57" i="25"/>
  <c r="H57" i="25"/>
  <c r="F57" i="25"/>
  <c r="H56" i="25"/>
  <c r="F56" i="25"/>
  <c r="H55" i="25"/>
  <c r="F55" i="25"/>
  <c r="H54" i="25"/>
  <c r="F54" i="25"/>
  <c r="H53" i="25"/>
  <c r="F53" i="25"/>
  <c r="H52" i="25"/>
  <c r="I39" i="25" s="1"/>
  <c r="F52" i="25"/>
  <c r="N44" i="25"/>
  <c r="H40" i="25" s="1"/>
  <c r="M44" i="25"/>
  <c r="O43" i="25"/>
  <c r="I43" i="25"/>
  <c r="O42" i="25"/>
  <c r="I42" i="25"/>
  <c r="H42" i="25"/>
  <c r="O41" i="25"/>
  <c r="C41" i="25"/>
  <c r="O40" i="25"/>
  <c r="I40" i="25"/>
  <c r="O39" i="25"/>
  <c r="O38" i="25"/>
  <c r="O37" i="25"/>
  <c r="M31" i="25"/>
  <c r="B31" i="25"/>
  <c r="I31" i="25" s="1"/>
  <c r="I30" i="25"/>
  <c r="I29" i="25"/>
  <c r="K27" i="25"/>
  <c r="H26" i="25"/>
  <c r="G26" i="25"/>
  <c r="F26" i="25"/>
  <c r="E26" i="25"/>
  <c r="D26" i="25"/>
  <c r="C26" i="25"/>
  <c r="B26" i="25"/>
  <c r="I25" i="25"/>
  <c r="Q24" i="25"/>
  <c r="R24" i="25" s="1"/>
  <c r="I24" i="25"/>
  <c r="Q23" i="25"/>
  <c r="R23" i="25" s="1"/>
  <c r="Q22" i="25"/>
  <c r="R22" i="25" s="1"/>
  <c r="Q21" i="25"/>
  <c r="R21" i="25" s="1"/>
  <c r="H21" i="25"/>
  <c r="G21" i="25"/>
  <c r="F21" i="25"/>
  <c r="E21" i="25"/>
  <c r="D21" i="25"/>
  <c r="C21" i="25"/>
  <c r="B21" i="25"/>
  <c r="Q20" i="25"/>
  <c r="R20" i="25" s="1"/>
  <c r="I20" i="25"/>
  <c r="Q19" i="25"/>
  <c r="R19" i="25" s="1"/>
  <c r="I19" i="25"/>
  <c r="Q18" i="25"/>
  <c r="R18" i="25" s="1"/>
  <c r="Q17" i="25"/>
  <c r="R17" i="25" s="1"/>
  <c r="Q16" i="25"/>
  <c r="R16" i="25" s="1"/>
  <c r="H16" i="25"/>
  <c r="G16" i="25"/>
  <c r="F16" i="25"/>
  <c r="E16" i="25"/>
  <c r="D16" i="25"/>
  <c r="C16" i="25"/>
  <c r="B16" i="25"/>
  <c r="Q15" i="25"/>
  <c r="R15" i="25" s="1"/>
  <c r="I15" i="25"/>
  <c r="Q14" i="25"/>
  <c r="R14" i="25" s="1"/>
  <c r="I14" i="25"/>
  <c r="Q13" i="25"/>
  <c r="R13" i="25" s="1"/>
  <c r="Q12" i="25"/>
  <c r="R12" i="25" s="1"/>
  <c r="Q11" i="25"/>
  <c r="R11" i="25" s="1"/>
  <c r="H11" i="25"/>
  <c r="G11" i="25"/>
  <c r="F11" i="25"/>
  <c r="E11" i="25"/>
  <c r="D11" i="25"/>
  <c r="C11" i="25"/>
  <c r="B11" i="25"/>
  <c r="I11" i="25" s="1"/>
  <c r="Q10" i="25"/>
  <c r="R10" i="25" s="1"/>
  <c r="I10" i="25"/>
  <c r="Q9" i="25"/>
  <c r="R9" i="25" s="1"/>
  <c r="I9" i="25"/>
  <c r="Q8" i="25"/>
  <c r="R8" i="25" s="1"/>
  <c r="Q7" i="25"/>
  <c r="R7" i="25" s="1"/>
  <c r="Q6" i="25"/>
  <c r="R6" i="25" s="1"/>
  <c r="H6" i="25"/>
  <c r="I6" i="25" s="1"/>
  <c r="Q5" i="25"/>
  <c r="R5" i="25" s="1"/>
  <c r="I5" i="25"/>
  <c r="Q4" i="25"/>
  <c r="I4" i="25"/>
  <c r="I151" i="24"/>
  <c r="A146" i="24"/>
  <c r="W17" i="24"/>
  <c r="W15" i="24"/>
  <c r="I152" i="24" s="1"/>
  <c r="E83" i="23"/>
  <c r="Q69" i="23"/>
  <c r="P68" i="23"/>
  <c r="P67" i="23"/>
  <c r="P66" i="23"/>
  <c r="P65" i="23"/>
  <c r="P64" i="23"/>
  <c r="H61" i="23"/>
  <c r="F61" i="23"/>
  <c r="M60" i="23"/>
  <c r="H60" i="23"/>
  <c r="F60" i="23"/>
  <c r="N59" i="23"/>
  <c r="O59" i="23" s="1"/>
  <c r="H59" i="23"/>
  <c r="F59" i="23"/>
  <c r="N58" i="23"/>
  <c r="O58" i="23" s="1"/>
  <c r="H58" i="23"/>
  <c r="F58" i="23"/>
  <c r="N57" i="23"/>
  <c r="O57" i="23" s="1"/>
  <c r="H57" i="23"/>
  <c r="F57" i="23"/>
  <c r="H56" i="23"/>
  <c r="F56" i="23"/>
  <c r="H55" i="23"/>
  <c r="F55" i="23"/>
  <c r="H54" i="23"/>
  <c r="F54" i="23"/>
  <c r="H53" i="23"/>
  <c r="F53" i="23"/>
  <c r="G52" i="23"/>
  <c r="F52" i="23"/>
  <c r="H52" i="23" s="1"/>
  <c r="D52" i="23"/>
  <c r="A52" i="23"/>
  <c r="M44" i="23"/>
  <c r="N43" i="23"/>
  <c r="O43" i="23" s="1"/>
  <c r="H43" i="23"/>
  <c r="N42" i="23"/>
  <c r="O42" i="23" s="1"/>
  <c r="N41" i="23"/>
  <c r="O41" i="23" s="1"/>
  <c r="N40" i="23"/>
  <c r="O40" i="23" s="1"/>
  <c r="C40" i="23"/>
  <c r="N39" i="23"/>
  <c r="O39" i="23" s="1"/>
  <c r="C39" i="23"/>
  <c r="N38" i="23"/>
  <c r="O38" i="23" s="1"/>
  <c r="C38" i="23"/>
  <c r="N37" i="23"/>
  <c r="C37" i="23"/>
  <c r="M31" i="23"/>
  <c r="K27" i="23"/>
  <c r="G26" i="23"/>
  <c r="F26" i="23"/>
  <c r="E26" i="23"/>
  <c r="D26" i="23"/>
  <c r="C26" i="23"/>
  <c r="B26" i="23"/>
  <c r="I25" i="23"/>
  <c r="Q24" i="23"/>
  <c r="R24" i="23" s="1"/>
  <c r="I24" i="23"/>
  <c r="O23" i="23"/>
  <c r="Q23" i="23" s="1"/>
  <c r="R23" i="23" s="1"/>
  <c r="O22" i="23"/>
  <c r="Q22" i="23" s="1"/>
  <c r="R22" i="23" s="1"/>
  <c r="O21" i="23"/>
  <c r="Q21" i="23" s="1"/>
  <c r="R21" i="23" s="1"/>
  <c r="H21" i="23"/>
  <c r="G21" i="23"/>
  <c r="F21" i="23"/>
  <c r="E21" i="23"/>
  <c r="D21" i="23"/>
  <c r="C21" i="23"/>
  <c r="B21" i="23"/>
  <c r="O20" i="23"/>
  <c r="Q20" i="23" s="1"/>
  <c r="R20" i="23" s="1"/>
  <c r="I20" i="23"/>
  <c r="R19" i="23"/>
  <c r="Q19" i="23"/>
  <c r="I19" i="23"/>
  <c r="Q18" i="23"/>
  <c r="R18" i="23" s="1"/>
  <c r="O18" i="23"/>
  <c r="Q17" i="23"/>
  <c r="R17" i="23" s="1"/>
  <c r="Q16" i="23"/>
  <c r="R16" i="23" s="1"/>
  <c r="H16" i="23"/>
  <c r="G16" i="23"/>
  <c r="F16" i="23"/>
  <c r="E16" i="23"/>
  <c r="D16" i="23"/>
  <c r="Q15" i="23"/>
  <c r="R15" i="23" s="1"/>
  <c r="C15" i="23"/>
  <c r="C16" i="23" s="1"/>
  <c r="B15" i="23"/>
  <c r="B16" i="23" s="1"/>
  <c r="I16" i="23" s="1"/>
  <c r="O14" i="23"/>
  <c r="Q14" i="23" s="1"/>
  <c r="R14" i="23" s="1"/>
  <c r="C14" i="23"/>
  <c r="I14" i="23" s="1"/>
  <c r="O13" i="23"/>
  <c r="Q13" i="23" s="1"/>
  <c r="R13" i="23" s="1"/>
  <c r="O12" i="23"/>
  <c r="Q12" i="23" s="1"/>
  <c r="R12" i="23" s="1"/>
  <c r="O11" i="23"/>
  <c r="Q11" i="23" s="1"/>
  <c r="R11" i="23" s="1"/>
  <c r="F11" i="23"/>
  <c r="O10" i="23"/>
  <c r="Q10" i="23" s="1"/>
  <c r="R10" i="23" s="1"/>
  <c r="H10" i="23"/>
  <c r="H11" i="23" s="1"/>
  <c r="G10" i="23"/>
  <c r="G11" i="23" s="1"/>
  <c r="F10" i="23"/>
  <c r="E10" i="23"/>
  <c r="E11" i="23" s="1"/>
  <c r="D10" i="23"/>
  <c r="D11" i="23" s="1"/>
  <c r="C10" i="23"/>
  <c r="B10" i="23"/>
  <c r="B11" i="23" s="1"/>
  <c r="Q9" i="23"/>
  <c r="R9" i="23" s="1"/>
  <c r="I9" i="23"/>
  <c r="O8" i="23"/>
  <c r="Q8" i="23" s="1"/>
  <c r="Q7" i="23"/>
  <c r="R7" i="23" s="1"/>
  <c r="Q6" i="23"/>
  <c r="R6" i="23" s="1"/>
  <c r="G6" i="23"/>
  <c r="Q5" i="23"/>
  <c r="H5" i="23"/>
  <c r="H6" i="23" s="1"/>
  <c r="G5" i="23"/>
  <c r="F5" i="23"/>
  <c r="F6" i="23" s="1"/>
  <c r="E5" i="23"/>
  <c r="E6" i="23" s="1"/>
  <c r="Q4" i="23"/>
  <c r="R4" i="23" s="1"/>
  <c r="I4" i="23"/>
  <c r="A146" i="22"/>
  <c r="AA17" i="22"/>
  <c r="W17" i="22" s="1"/>
  <c r="AA15" i="22"/>
  <c r="W15" i="22" s="1"/>
  <c r="I152" i="22" s="1"/>
  <c r="W14" i="22"/>
  <c r="I151" i="22" s="1"/>
  <c r="Q69" i="21"/>
  <c r="P68" i="21"/>
  <c r="P67" i="21"/>
  <c r="P66" i="21"/>
  <c r="P65" i="21"/>
  <c r="P64" i="21"/>
  <c r="H61" i="21"/>
  <c r="F61" i="21"/>
  <c r="N60" i="21"/>
  <c r="H42" i="21" s="1"/>
  <c r="M60" i="21"/>
  <c r="H60" i="21"/>
  <c r="F60" i="21"/>
  <c r="O59" i="21"/>
  <c r="H59" i="21"/>
  <c r="F59" i="21"/>
  <c r="O58" i="21"/>
  <c r="H58" i="21"/>
  <c r="F58" i="21"/>
  <c r="O57" i="21"/>
  <c r="H57" i="21"/>
  <c r="F57" i="21"/>
  <c r="H56" i="21"/>
  <c r="F56" i="21"/>
  <c r="H55" i="21"/>
  <c r="F55" i="21"/>
  <c r="D54" i="21"/>
  <c r="F54" i="21" s="1"/>
  <c r="A54" i="21"/>
  <c r="D53" i="21"/>
  <c r="A53" i="21"/>
  <c r="D52" i="21"/>
  <c r="N44" i="21"/>
  <c r="H40" i="21" s="1"/>
  <c r="M44" i="21"/>
  <c r="O43" i="21"/>
  <c r="I43" i="21"/>
  <c r="O42" i="21"/>
  <c r="I42" i="21"/>
  <c r="O41" i="21"/>
  <c r="O40" i="21"/>
  <c r="I40" i="21"/>
  <c r="O39" i="21"/>
  <c r="C39" i="21"/>
  <c r="O38" i="21"/>
  <c r="C38" i="21"/>
  <c r="O37" i="21"/>
  <c r="C37" i="21"/>
  <c r="M31" i="21"/>
  <c r="K27" i="21"/>
  <c r="D25" i="21"/>
  <c r="D26" i="21" s="1"/>
  <c r="C25" i="21"/>
  <c r="C26" i="21" s="1"/>
  <c r="B25" i="21"/>
  <c r="B26" i="21" s="1"/>
  <c r="O24" i="21"/>
  <c r="Q24" i="21" s="1"/>
  <c r="R24" i="21" s="1"/>
  <c r="I24" i="21"/>
  <c r="O23" i="21"/>
  <c r="Q23" i="21" s="1"/>
  <c r="R23" i="21" s="1"/>
  <c r="O22" i="21"/>
  <c r="Q22" i="21" s="1"/>
  <c r="R22" i="21" s="1"/>
  <c r="Q21" i="21"/>
  <c r="R21" i="21" s="1"/>
  <c r="O21" i="21"/>
  <c r="H21" i="21"/>
  <c r="O20" i="21"/>
  <c r="Q20" i="21" s="1"/>
  <c r="R20" i="21" s="1"/>
  <c r="H20" i="21"/>
  <c r="G20" i="21"/>
  <c r="G21" i="21" s="1"/>
  <c r="F20" i="21"/>
  <c r="F21" i="21" s="1"/>
  <c r="E20" i="21"/>
  <c r="E21" i="21" s="1"/>
  <c r="D20" i="21"/>
  <c r="D21" i="21" s="1"/>
  <c r="C20" i="21"/>
  <c r="C21" i="21" s="1"/>
  <c r="B20" i="21"/>
  <c r="B21" i="21" s="1"/>
  <c r="O19" i="21"/>
  <c r="Q19" i="21" s="1"/>
  <c r="R19" i="21" s="1"/>
  <c r="I19" i="21"/>
  <c r="O18" i="21"/>
  <c r="Q18" i="21" s="1"/>
  <c r="R18" i="21" s="1"/>
  <c r="O17" i="21"/>
  <c r="Q17" i="21" s="1"/>
  <c r="R17" i="21" s="1"/>
  <c r="O16" i="21"/>
  <c r="Q16" i="21" s="1"/>
  <c r="R16" i="21" s="1"/>
  <c r="Q15" i="21"/>
  <c r="R15" i="21" s="1"/>
  <c r="O15" i="21"/>
  <c r="H15" i="21"/>
  <c r="H16" i="21" s="1"/>
  <c r="G15" i="21"/>
  <c r="G16" i="21" s="1"/>
  <c r="F15" i="21"/>
  <c r="F16" i="21" s="1"/>
  <c r="E15" i="21"/>
  <c r="E16" i="21" s="1"/>
  <c r="D15" i="21"/>
  <c r="D16" i="21" s="1"/>
  <c r="C15" i="21"/>
  <c r="B15" i="21"/>
  <c r="B16" i="21" s="1"/>
  <c r="Q14" i="21"/>
  <c r="R14" i="21" s="1"/>
  <c r="C14" i="21"/>
  <c r="I14" i="21" s="1"/>
  <c r="O13" i="21"/>
  <c r="Q13" i="21" s="1"/>
  <c r="R13" i="21" s="1"/>
  <c r="O12" i="21"/>
  <c r="Q12" i="21" s="1"/>
  <c r="R12" i="21" s="1"/>
  <c r="Q11" i="21"/>
  <c r="R11" i="21" s="1"/>
  <c r="O10" i="21"/>
  <c r="Q10" i="21" s="1"/>
  <c r="R10" i="21" s="1"/>
  <c r="H10" i="21"/>
  <c r="H11" i="21" s="1"/>
  <c r="G10" i="21"/>
  <c r="G11" i="21" s="1"/>
  <c r="F10" i="21"/>
  <c r="F11" i="21" s="1"/>
  <c r="E10" i="21"/>
  <c r="E11" i="21" s="1"/>
  <c r="D10" i="21"/>
  <c r="C10" i="21"/>
  <c r="C11" i="21" s="1"/>
  <c r="B10" i="21"/>
  <c r="B11" i="21" s="1"/>
  <c r="O9" i="21"/>
  <c r="Q9" i="21" s="1"/>
  <c r="R9" i="21" s="1"/>
  <c r="I9" i="21"/>
  <c r="O8" i="21"/>
  <c r="Q8" i="21" s="1"/>
  <c r="R8" i="21" s="1"/>
  <c r="O7" i="21"/>
  <c r="Q7" i="21" s="1"/>
  <c r="R7" i="21" s="1"/>
  <c r="O6" i="21"/>
  <c r="Q6" i="21" s="1"/>
  <c r="R6" i="21" s="1"/>
  <c r="G6" i="21"/>
  <c r="Q5" i="21"/>
  <c r="R5" i="21" s="1"/>
  <c r="H5" i="21"/>
  <c r="H6" i="21" s="1"/>
  <c r="G5" i="21"/>
  <c r="F5" i="21"/>
  <c r="F6" i="21" s="1"/>
  <c r="E5" i="21"/>
  <c r="E6" i="21" s="1"/>
  <c r="D5" i="21"/>
  <c r="D6" i="21" s="1"/>
  <c r="C5" i="21"/>
  <c r="O4" i="21"/>
  <c r="Q4" i="21" s="1"/>
  <c r="R4" i="21" s="1"/>
  <c r="I4" i="21"/>
  <c r="I151" i="20"/>
  <c r="A146" i="20"/>
  <c r="W17" i="20"/>
  <c r="W15" i="20"/>
  <c r="I152" i="20" s="1"/>
  <c r="Q69" i="19"/>
  <c r="P68" i="19"/>
  <c r="P67" i="19"/>
  <c r="P66" i="19"/>
  <c r="P65" i="19"/>
  <c r="P64" i="19"/>
  <c r="H61" i="19"/>
  <c r="F61" i="19"/>
  <c r="N60" i="19"/>
  <c r="H42" i="19" s="1"/>
  <c r="M60" i="19"/>
  <c r="H60" i="19"/>
  <c r="F60" i="19"/>
  <c r="O59" i="19"/>
  <c r="H59" i="19"/>
  <c r="F59" i="19"/>
  <c r="O58" i="19"/>
  <c r="H58" i="19"/>
  <c r="F58" i="19"/>
  <c r="O57" i="19"/>
  <c r="H57" i="19"/>
  <c r="F57" i="19"/>
  <c r="D56" i="19"/>
  <c r="F56" i="19" s="1"/>
  <c r="H56" i="19" s="1"/>
  <c r="A56" i="19"/>
  <c r="E55" i="19"/>
  <c r="D55" i="19"/>
  <c r="F54" i="19"/>
  <c r="H54" i="19" s="1"/>
  <c r="F53" i="19"/>
  <c r="H53" i="19" s="1"/>
  <c r="F52" i="19"/>
  <c r="H52" i="19" s="1"/>
  <c r="N44" i="19"/>
  <c r="H40" i="19" s="1"/>
  <c r="M44" i="19"/>
  <c r="O43" i="19"/>
  <c r="I43" i="19"/>
  <c r="O42" i="19"/>
  <c r="I42" i="19"/>
  <c r="O41" i="19"/>
  <c r="C41" i="19"/>
  <c r="O40" i="19"/>
  <c r="I40" i="19"/>
  <c r="O39" i="19"/>
  <c r="O38" i="19"/>
  <c r="O37" i="19"/>
  <c r="M31" i="19"/>
  <c r="B31" i="19"/>
  <c r="I31" i="19" s="1"/>
  <c r="I30" i="19"/>
  <c r="I29" i="19"/>
  <c r="K27" i="19"/>
  <c r="H26" i="19"/>
  <c r="G26" i="19"/>
  <c r="F26" i="19"/>
  <c r="E26" i="19"/>
  <c r="D26" i="19"/>
  <c r="C26" i="19"/>
  <c r="B26" i="19"/>
  <c r="I25" i="19"/>
  <c r="R24" i="19"/>
  <c r="Q24" i="19"/>
  <c r="I24" i="19"/>
  <c r="Q23" i="19"/>
  <c r="R23" i="19" s="1"/>
  <c r="Q22" i="19"/>
  <c r="R22" i="19" s="1"/>
  <c r="Q21" i="19"/>
  <c r="R21" i="19" s="1"/>
  <c r="H21" i="19"/>
  <c r="G21" i="19"/>
  <c r="F21" i="19"/>
  <c r="E21" i="19"/>
  <c r="D21" i="19"/>
  <c r="C21" i="19"/>
  <c r="B21" i="19"/>
  <c r="Q20" i="19"/>
  <c r="R20" i="19" s="1"/>
  <c r="I20" i="19"/>
  <c r="R19" i="19"/>
  <c r="Q19" i="19"/>
  <c r="I19" i="19"/>
  <c r="R18" i="19"/>
  <c r="Q18" i="19"/>
  <c r="Q17" i="19"/>
  <c r="R17" i="19" s="1"/>
  <c r="Q16" i="19"/>
  <c r="R16" i="19" s="1"/>
  <c r="H16" i="19"/>
  <c r="G16" i="19"/>
  <c r="F16" i="19"/>
  <c r="E16" i="19"/>
  <c r="D16" i="19"/>
  <c r="C16" i="19"/>
  <c r="B16" i="19"/>
  <c r="Q15" i="19"/>
  <c r="R15" i="19" s="1"/>
  <c r="I15" i="19"/>
  <c r="Q14" i="19"/>
  <c r="R14" i="19" s="1"/>
  <c r="I14" i="19"/>
  <c r="Q13" i="19"/>
  <c r="R13" i="19" s="1"/>
  <c r="Q12" i="19"/>
  <c r="R12" i="19" s="1"/>
  <c r="Q11" i="19"/>
  <c r="R11" i="19" s="1"/>
  <c r="H11" i="19"/>
  <c r="G11" i="19"/>
  <c r="F11" i="19"/>
  <c r="E11" i="19"/>
  <c r="D11" i="19"/>
  <c r="C11" i="19"/>
  <c r="B11" i="19"/>
  <c r="Q10" i="19"/>
  <c r="R10" i="19" s="1"/>
  <c r="I10" i="19"/>
  <c r="Q9" i="19"/>
  <c r="R9" i="19" s="1"/>
  <c r="I9" i="19"/>
  <c r="Q8" i="19"/>
  <c r="R8" i="19" s="1"/>
  <c r="R7" i="19"/>
  <c r="Q7" i="19"/>
  <c r="Q6" i="19"/>
  <c r="R6" i="19" s="1"/>
  <c r="H6" i="19"/>
  <c r="G6" i="19"/>
  <c r="I6" i="19" s="1"/>
  <c r="Q5" i="19"/>
  <c r="R5" i="19" s="1"/>
  <c r="I5" i="19"/>
  <c r="Q4" i="19"/>
  <c r="R4" i="19" s="1"/>
  <c r="I4" i="19"/>
  <c r="I151" i="18"/>
  <c r="A146" i="18"/>
  <c r="W17" i="18"/>
  <c r="W15" i="18"/>
  <c r="Q69" i="17"/>
  <c r="P68" i="17"/>
  <c r="P67" i="17"/>
  <c r="P66" i="17"/>
  <c r="P65" i="17"/>
  <c r="P64" i="17"/>
  <c r="H61" i="17"/>
  <c r="F61" i="17"/>
  <c r="N60" i="17"/>
  <c r="H42" i="17" s="1"/>
  <c r="M60" i="17"/>
  <c r="H60" i="17"/>
  <c r="F60" i="17"/>
  <c r="O59" i="17"/>
  <c r="H59" i="17"/>
  <c r="F59" i="17"/>
  <c r="O58" i="17"/>
  <c r="H58" i="17"/>
  <c r="F58" i="17"/>
  <c r="O57" i="17"/>
  <c r="H57" i="17"/>
  <c r="F57" i="17"/>
  <c r="H56" i="17"/>
  <c r="F56" i="17"/>
  <c r="H55" i="17"/>
  <c r="F55" i="17"/>
  <c r="D54" i="17"/>
  <c r="A54" i="17"/>
  <c r="D53" i="17"/>
  <c r="A53" i="17"/>
  <c r="H52" i="17"/>
  <c r="F52" i="17"/>
  <c r="N44" i="17"/>
  <c r="H40" i="17" s="1"/>
  <c r="M44" i="17"/>
  <c r="O43" i="17"/>
  <c r="I43" i="17"/>
  <c r="O42" i="17"/>
  <c r="I42" i="17"/>
  <c r="O41" i="17"/>
  <c r="C41" i="17"/>
  <c r="O40" i="17"/>
  <c r="I40" i="17"/>
  <c r="O39" i="17"/>
  <c r="O38" i="17"/>
  <c r="O37" i="17"/>
  <c r="M31" i="17"/>
  <c r="K27" i="17"/>
  <c r="F26" i="17"/>
  <c r="E26" i="17"/>
  <c r="D26" i="17"/>
  <c r="C26" i="17"/>
  <c r="B26" i="17"/>
  <c r="I25" i="17"/>
  <c r="Q24" i="17"/>
  <c r="R24" i="17" s="1"/>
  <c r="I24" i="17"/>
  <c r="Q23" i="17"/>
  <c r="R23" i="17" s="1"/>
  <c r="Q22" i="17"/>
  <c r="R22" i="17" s="1"/>
  <c r="Q21" i="17"/>
  <c r="R21" i="17" s="1"/>
  <c r="H21" i="17"/>
  <c r="G21" i="17"/>
  <c r="F21" i="17"/>
  <c r="E21" i="17"/>
  <c r="D21" i="17"/>
  <c r="C21" i="17"/>
  <c r="B21" i="17"/>
  <c r="Q20" i="17"/>
  <c r="R20" i="17" s="1"/>
  <c r="I20" i="17"/>
  <c r="Q19" i="17"/>
  <c r="R19" i="17" s="1"/>
  <c r="I19" i="17"/>
  <c r="Q18" i="17"/>
  <c r="R18" i="17" s="1"/>
  <c r="Q17" i="17"/>
  <c r="R17" i="17" s="1"/>
  <c r="Q16" i="17"/>
  <c r="R16" i="17" s="1"/>
  <c r="H16" i="17"/>
  <c r="G16" i="17"/>
  <c r="F16" i="17"/>
  <c r="E16" i="17"/>
  <c r="D16" i="17"/>
  <c r="C16" i="17"/>
  <c r="B16" i="17"/>
  <c r="Q15" i="17"/>
  <c r="R15" i="17" s="1"/>
  <c r="I15" i="17"/>
  <c r="Q14" i="17"/>
  <c r="R14" i="17" s="1"/>
  <c r="I14" i="17"/>
  <c r="Q13" i="17"/>
  <c r="R13" i="17" s="1"/>
  <c r="Q12" i="17"/>
  <c r="R12" i="17" s="1"/>
  <c r="Q11" i="17"/>
  <c r="R11" i="17" s="1"/>
  <c r="H11" i="17"/>
  <c r="G11" i="17"/>
  <c r="F11" i="17"/>
  <c r="E11" i="17"/>
  <c r="D11" i="17"/>
  <c r="C11" i="17"/>
  <c r="B11" i="17"/>
  <c r="Q10" i="17"/>
  <c r="R10" i="17" s="1"/>
  <c r="I10" i="17"/>
  <c r="Q9" i="17"/>
  <c r="R9" i="17" s="1"/>
  <c r="I9" i="17"/>
  <c r="Q8" i="17"/>
  <c r="R8" i="17" s="1"/>
  <c r="Q7" i="17"/>
  <c r="R7" i="17" s="1"/>
  <c r="Q6" i="17"/>
  <c r="R6" i="17" s="1"/>
  <c r="H6" i="17"/>
  <c r="G6" i="17"/>
  <c r="F6" i="17"/>
  <c r="E6" i="17"/>
  <c r="D6" i="17"/>
  <c r="Q5" i="17"/>
  <c r="R5" i="17" s="1"/>
  <c r="I5" i="17"/>
  <c r="Q4" i="17"/>
  <c r="R4" i="17" s="1"/>
  <c r="I4" i="17"/>
  <c r="I151" i="16"/>
  <c r="A146" i="16"/>
  <c r="W17" i="16"/>
  <c r="W15" i="16"/>
  <c r="I152" i="16" s="1"/>
  <c r="Q69" i="15"/>
  <c r="P68" i="15"/>
  <c r="P67" i="15"/>
  <c r="P66" i="15"/>
  <c r="P65" i="15"/>
  <c r="P64" i="15"/>
  <c r="H61" i="15"/>
  <c r="F61" i="15"/>
  <c r="N60" i="15"/>
  <c r="M60" i="15"/>
  <c r="H60" i="15"/>
  <c r="F60" i="15"/>
  <c r="O59" i="15"/>
  <c r="H59" i="15"/>
  <c r="F59" i="15"/>
  <c r="O58" i="15"/>
  <c r="H58" i="15"/>
  <c r="F58" i="15"/>
  <c r="O57" i="15"/>
  <c r="H57" i="15"/>
  <c r="F57" i="15"/>
  <c r="H56" i="15"/>
  <c r="F56" i="15"/>
  <c r="H55" i="15"/>
  <c r="F55" i="15"/>
  <c r="H54" i="15"/>
  <c r="F54" i="15"/>
  <c r="D53" i="15"/>
  <c r="A53" i="15"/>
  <c r="F52" i="15"/>
  <c r="H52" i="15" s="1"/>
  <c r="N44" i="15"/>
  <c r="M44" i="15"/>
  <c r="O43" i="15"/>
  <c r="I43" i="15"/>
  <c r="O42" i="15"/>
  <c r="I42" i="15"/>
  <c r="H42" i="15"/>
  <c r="O41" i="15"/>
  <c r="C41" i="15"/>
  <c r="O40" i="15"/>
  <c r="I40" i="15"/>
  <c r="H40" i="15"/>
  <c r="O39" i="15"/>
  <c r="O38" i="15"/>
  <c r="O37" i="15"/>
  <c r="M31" i="15"/>
  <c r="K27" i="15"/>
  <c r="C26" i="15"/>
  <c r="B26" i="15"/>
  <c r="I26" i="15" s="1"/>
  <c r="I25" i="15"/>
  <c r="Q24" i="15"/>
  <c r="R24" i="15" s="1"/>
  <c r="I24" i="15"/>
  <c r="Q23" i="15"/>
  <c r="R23" i="15" s="1"/>
  <c r="Q22" i="15"/>
  <c r="R22" i="15" s="1"/>
  <c r="Q21" i="15"/>
  <c r="R21" i="15" s="1"/>
  <c r="H21" i="15"/>
  <c r="G21" i="15"/>
  <c r="F21" i="15"/>
  <c r="E21" i="15"/>
  <c r="D21" i="15"/>
  <c r="C21" i="15"/>
  <c r="B21" i="15"/>
  <c r="Q20" i="15"/>
  <c r="R20" i="15" s="1"/>
  <c r="I20" i="15"/>
  <c r="Q19" i="15"/>
  <c r="R19" i="15" s="1"/>
  <c r="I19" i="15"/>
  <c r="Q18" i="15"/>
  <c r="R18" i="15" s="1"/>
  <c r="Q17" i="15"/>
  <c r="R17" i="15" s="1"/>
  <c r="Q16" i="15"/>
  <c r="R16" i="15" s="1"/>
  <c r="H16" i="15"/>
  <c r="G16" i="15"/>
  <c r="F16" i="15"/>
  <c r="E16" i="15"/>
  <c r="D16" i="15"/>
  <c r="C16" i="15"/>
  <c r="B16" i="15"/>
  <c r="Q15" i="15"/>
  <c r="R15" i="15" s="1"/>
  <c r="I15" i="15"/>
  <c r="Q14" i="15"/>
  <c r="R14" i="15" s="1"/>
  <c r="I14" i="15"/>
  <c r="Q13" i="15"/>
  <c r="R13" i="15" s="1"/>
  <c r="Q12" i="15"/>
  <c r="R12" i="15" s="1"/>
  <c r="Q11" i="15"/>
  <c r="R11" i="15" s="1"/>
  <c r="H11" i="15"/>
  <c r="G11" i="15"/>
  <c r="F11" i="15"/>
  <c r="E11" i="15"/>
  <c r="D11" i="15"/>
  <c r="C11" i="15"/>
  <c r="B11" i="15"/>
  <c r="Q10" i="15"/>
  <c r="R10" i="15" s="1"/>
  <c r="I10" i="15"/>
  <c r="Q9" i="15"/>
  <c r="R9" i="15" s="1"/>
  <c r="I9" i="15"/>
  <c r="Q8" i="15"/>
  <c r="R8" i="15" s="1"/>
  <c r="Q7" i="15"/>
  <c r="R7" i="15" s="1"/>
  <c r="Q6" i="15"/>
  <c r="R6" i="15" s="1"/>
  <c r="H6" i="15"/>
  <c r="G6" i="15"/>
  <c r="F6" i="15"/>
  <c r="E6" i="15"/>
  <c r="D6" i="15"/>
  <c r="C6" i="15"/>
  <c r="B6" i="15"/>
  <c r="Q5" i="15"/>
  <c r="R5" i="15" s="1"/>
  <c r="I5" i="15"/>
  <c r="Q4" i="15"/>
  <c r="R4" i="15" s="1"/>
  <c r="I4" i="15"/>
  <c r="I152" i="14"/>
  <c r="A146" i="14"/>
  <c r="W17" i="14"/>
  <c r="W15" i="14"/>
  <c r="W14" i="14"/>
  <c r="I151" i="14" s="1"/>
  <c r="Q69" i="13"/>
  <c r="P68" i="13"/>
  <c r="P67" i="13"/>
  <c r="P66" i="13"/>
  <c r="P65" i="13"/>
  <c r="P64" i="13"/>
  <c r="H61" i="13"/>
  <c r="F61" i="13"/>
  <c r="N60" i="13"/>
  <c r="H42" i="13" s="1"/>
  <c r="M60" i="13"/>
  <c r="H60" i="13"/>
  <c r="F60" i="13"/>
  <c r="O59" i="13"/>
  <c r="H59" i="13"/>
  <c r="F59" i="13"/>
  <c r="O58" i="13"/>
  <c r="H58" i="13"/>
  <c r="F58" i="13"/>
  <c r="O57" i="13"/>
  <c r="H57" i="13"/>
  <c r="F57" i="13"/>
  <c r="H56" i="13"/>
  <c r="F56" i="13"/>
  <c r="H55" i="13"/>
  <c r="F55" i="13"/>
  <c r="H54" i="13"/>
  <c r="F54" i="13"/>
  <c r="H53" i="13"/>
  <c r="F53" i="13"/>
  <c r="H52" i="13"/>
  <c r="F52" i="13"/>
  <c r="N44" i="13"/>
  <c r="M44" i="13"/>
  <c r="O43" i="13"/>
  <c r="I43" i="13"/>
  <c r="O42" i="13"/>
  <c r="I42" i="13"/>
  <c r="O41" i="13"/>
  <c r="C41" i="13"/>
  <c r="O40" i="13"/>
  <c r="I40" i="13"/>
  <c r="H40" i="13"/>
  <c r="O39" i="13"/>
  <c r="O38" i="13"/>
  <c r="O37" i="13"/>
  <c r="K27" i="13"/>
  <c r="H26" i="13"/>
  <c r="G26" i="13"/>
  <c r="F26" i="13"/>
  <c r="E26" i="13"/>
  <c r="D26" i="13"/>
  <c r="C26" i="13"/>
  <c r="B26" i="13"/>
  <c r="I25" i="13"/>
  <c r="Q24" i="13"/>
  <c r="R24" i="13" s="1"/>
  <c r="I24" i="13"/>
  <c r="Q23" i="13"/>
  <c r="R23" i="13" s="1"/>
  <c r="Q22" i="13"/>
  <c r="R22" i="13" s="1"/>
  <c r="Q21" i="13"/>
  <c r="R21" i="13" s="1"/>
  <c r="H21" i="13"/>
  <c r="G21" i="13"/>
  <c r="F21" i="13"/>
  <c r="E21" i="13"/>
  <c r="D21" i="13"/>
  <c r="C21" i="13"/>
  <c r="B21" i="13"/>
  <c r="R20" i="13"/>
  <c r="Q20" i="13"/>
  <c r="I20" i="13"/>
  <c r="Q19" i="13"/>
  <c r="R19" i="13" s="1"/>
  <c r="I19" i="13"/>
  <c r="Q18" i="13"/>
  <c r="R18" i="13" s="1"/>
  <c r="Q17" i="13"/>
  <c r="R17" i="13" s="1"/>
  <c r="Q16" i="13"/>
  <c r="R16" i="13" s="1"/>
  <c r="H16" i="13"/>
  <c r="G16" i="13"/>
  <c r="F16" i="13"/>
  <c r="E16" i="13"/>
  <c r="D16" i="13"/>
  <c r="C16" i="13"/>
  <c r="B16" i="13"/>
  <c r="Q15" i="13"/>
  <c r="R15" i="13" s="1"/>
  <c r="I15" i="13"/>
  <c r="Q14" i="13"/>
  <c r="R14" i="13" s="1"/>
  <c r="I14" i="13"/>
  <c r="Q13" i="13"/>
  <c r="R13" i="13" s="1"/>
  <c r="Q12" i="13"/>
  <c r="R12" i="13" s="1"/>
  <c r="Q11" i="13"/>
  <c r="R11" i="13" s="1"/>
  <c r="H11" i="13"/>
  <c r="G11" i="13"/>
  <c r="F11" i="13"/>
  <c r="E11" i="13"/>
  <c r="D11" i="13"/>
  <c r="C11" i="13"/>
  <c r="B11" i="13"/>
  <c r="Q10" i="13"/>
  <c r="R10" i="13" s="1"/>
  <c r="I10" i="13"/>
  <c r="Q9" i="13"/>
  <c r="R9" i="13" s="1"/>
  <c r="I9" i="13"/>
  <c r="Q8" i="13"/>
  <c r="R8" i="13" s="1"/>
  <c r="Q7" i="13"/>
  <c r="R7" i="13" s="1"/>
  <c r="Q6" i="13"/>
  <c r="R6" i="13" s="1"/>
  <c r="H6" i="13"/>
  <c r="G6" i="13"/>
  <c r="F6" i="13"/>
  <c r="R5" i="13"/>
  <c r="Q5" i="13"/>
  <c r="I5" i="13"/>
  <c r="Q4" i="13"/>
  <c r="R4" i="13" s="1"/>
  <c r="I4" i="13"/>
  <c r="I151" i="12"/>
  <c r="A146" i="12"/>
  <c r="W17" i="12"/>
  <c r="W15" i="12"/>
  <c r="I152" i="12" s="1"/>
  <c r="Q69" i="11"/>
  <c r="P68" i="11"/>
  <c r="P67" i="11"/>
  <c r="P66" i="11"/>
  <c r="P65" i="11"/>
  <c r="P64" i="11"/>
  <c r="H61" i="11"/>
  <c r="F61" i="11"/>
  <c r="N60" i="11"/>
  <c r="H42" i="11" s="1"/>
  <c r="M60" i="11"/>
  <c r="H60" i="11"/>
  <c r="F60" i="11"/>
  <c r="O59" i="11"/>
  <c r="H59" i="11"/>
  <c r="F59" i="11"/>
  <c r="O58" i="11"/>
  <c r="H58" i="11"/>
  <c r="F58" i="11"/>
  <c r="O57" i="11"/>
  <c r="H57" i="11"/>
  <c r="F57" i="11"/>
  <c r="H56" i="11"/>
  <c r="F56" i="11"/>
  <c r="H55" i="11"/>
  <c r="F55" i="11"/>
  <c r="H54" i="11"/>
  <c r="F54" i="11"/>
  <c r="D53" i="11"/>
  <c r="F53" i="11" s="1"/>
  <c r="A53" i="11"/>
  <c r="F52" i="11"/>
  <c r="H52" i="11" s="1"/>
  <c r="N44" i="11"/>
  <c r="H40" i="11" s="1"/>
  <c r="M44" i="11"/>
  <c r="O43" i="11"/>
  <c r="I43" i="11"/>
  <c r="O42" i="11"/>
  <c r="I42" i="11"/>
  <c r="O41" i="11"/>
  <c r="C41" i="11"/>
  <c r="O40" i="11"/>
  <c r="I40" i="11"/>
  <c r="O39" i="11"/>
  <c r="O38" i="11"/>
  <c r="O37" i="11"/>
  <c r="M31" i="11"/>
  <c r="K27" i="11"/>
  <c r="E26" i="11"/>
  <c r="D26" i="11"/>
  <c r="C26" i="11"/>
  <c r="B26" i="11"/>
  <c r="I25" i="11"/>
  <c r="Q24" i="11"/>
  <c r="R24" i="11" s="1"/>
  <c r="I24" i="11"/>
  <c r="Q23" i="11"/>
  <c r="R23" i="11" s="1"/>
  <c r="Q22" i="11"/>
  <c r="R22" i="11" s="1"/>
  <c r="Q21" i="11"/>
  <c r="R21" i="11" s="1"/>
  <c r="H21" i="11"/>
  <c r="G21" i="11"/>
  <c r="F21" i="11"/>
  <c r="E21" i="11"/>
  <c r="D21" i="11"/>
  <c r="C21" i="11"/>
  <c r="B21" i="11"/>
  <c r="R20" i="11"/>
  <c r="Q20" i="11"/>
  <c r="I20" i="11"/>
  <c r="Q19" i="11"/>
  <c r="R19" i="11" s="1"/>
  <c r="I19" i="11"/>
  <c r="Q18" i="11"/>
  <c r="R18" i="11" s="1"/>
  <c r="Q17" i="11"/>
  <c r="R17" i="11" s="1"/>
  <c r="Q16" i="11"/>
  <c r="R16" i="11" s="1"/>
  <c r="H16" i="11"/>
  <c r="G16" i="11"/>
  <c r="F16" i="11"/>
  <c r="E16" i="11"/>
  <c r="D16" i="11"/>
  <c r="C16" i="11"/>
  <c r="B16" i="11"/>
  <c r="I16" i="11" s="1"/>
  <c r="Q15" i="11"/>
  <c r="R15" i="11" s="1"/>
  <c r="I15" i="11"/>
  <c r="Q14" i="11"/>
  <c r="R14" i="11" s="1"/>
  <c r="I14" i="11"/>
  <c r="Q13" i="11"/>
  <c r="R13" i="11" s="1"/>
  <c r="Q12" i="11"/>
  <c r="R12" i="11" s="1"/>
  <c r="Q11" i="11"/>
  <c r="R11" i="11" s="1"/>
  <c r="H11" i="11"/>
  <c r="G11" i="11"/>
  <c r="F11" i="11"/>
  <c r="E11" i="11"/>
  <c r="D11" i="11"/>
  <c r="C11" i="11"/>
  <c r="B11" i="11"/>
  <c r="Q10" i="11"/>
  <c r="R10" i="11" s="1"/>
  <c r="I10" i="11"/>
  <c r="R9" i="11"/>
  <c r="Q9" i="11"/>
  <c r="I9" i="11"/>
  <c r="Q8" i="11"/>
  <c r="R8" i="11" s="1"/>
  <c r="R7" i="11"/>
  <c r="Q7" i="11"/>
  <c r="Q6" i="11"/>
  <c r="R6" i="11" s="1"/>
  <c r="H6" i="11"/>
  <c r="G6" i="11"/>
  <c r="F6" i="11"/>
  <c r="E6" i="11"/>
  <c r="D6" i="11"/>
  <c r="Q5" i="11"/>
  <c r="R5" i="11" s="1"/>
  <c r="I5" i="11"/>
  <c r="Q4" i="11"/>
  <c r="I4" i="11"/>
  <c r="I151" i="10"/>
  <c r="A146" i="10"/>
  <c r="W17" i="10"/>
  <c r="W15" i="10"/>
  <c r="I152" i="10" s="1"/>
  <c r="Q69" i="9"/>
  <c r="P68" i="9"/>
  <c r="P67" i="9"/>
  <c r="P66" i="9"/>
  <c r="P65" i="9"/>
  <c r="P64" i="9"/>
  <c r="H61" i="9"/>
  <c r="F61" i="9"/>
  <c r="N60" i="9"/>
  <c r="H42" i="9" s="1"/>
  <c r="M60" i="9"/>
  <c r="H60" i="9"/>
  <c r="F60" i="9"/>
  <c r="O59" i="9"/>
  <c r="H59" i="9"/>
  <c r="F59" i="9"/>
  <c r="O58" i="9"/>
  <c r="H58" i="9"/>
  <c r="F58" i="9"/>
  <c r="O57" i="9"/>
  <c r="H57" i="9"/>
  <c r="F57" i="9"/>
  <c r="H56" i="9"/>
  <c r="F56" i="9"/>
  <c r="H55" i="9"/>
  <c r="F55" i="9"/>
  <c r="H54" i="9"/>
  <c r="F54" i="9"/>
  <c r="D53" i="9"/>
  <c r="F53" i="9" s="1"/>
  <c r="H53" i="9" s="1"/>
  <c r="A53" i="9"/>
  <c r="H52" i="9"/>
  <c r="F52" i="9"/>
  <c r="N44" i="9"/>
  <c r="M44" i="9"/>
  <c r="O43" i="9"/>
  <c r="I43" i="9"/>
  <c r="O42" i="9"/>
  <c r="I42" i="9"/>
  <c r="O41" i="9"/>
  <c r="C41" i="9"/>
  <c r="O40" i="9"/>
  <c r="I40" i="9"/>
  <c r="H40" i="9"/>
  <c r="O39" i="9"/>
  <c r="O38" i="9"/>
  <c r="O37" i="9"/>
  <c r="M31" i="9"/>
  <c r="C31" i="9"/>
  <c r="B31" i="9"/>
  <c r="I30" i="9"/>
  <c r="I29" i="9"/>
  <c r="K27" i="9"/>
  <c r="H26" i="9"/>
  <c r="G26" i="9"/>
  <c r="F26" i="9"/>
  <c r="E26" i="9"/>
  <c r="D26" i="9"/>
  <c r="C26" i="9"/>
  <c r="B26" i="9"/>
  <c r="I25" i="9"/>
  <c r="Q24" i="9"/>
  <c r="R24" i="9" s="1"/>
  <c r="I24" i="9"/>
  <c r="Q23" i="9"/>
  <c r="R23" i="9" s="1"/>
  <c r="Q22" i="9"/>
  <c r="R22" i="9" s="1"/>
  <c r="Q21" i="9"/>
  <c r="R21" i="9" s="1"/>
  <c r="H21" i="9"/>
  <c r="G21" i="9"/>
  <c r="F21" i="9"/>
  <c r="E21" i="9"/>
  <c r="D21" i="9"/>
  <c r="C21" i="9"/>
  <c r="B21" i="9"/>
  <c r="Q20" i="9"/>
  <c r="R20" i="9" s="1"/>
  <c r="I20" i="9"/>
  <c r="Q19" i="9"/>
  <c r="R19" i="9" s="1"/>
  <c r="I19" i="9"/>
  <c r="R18" i="9"/>
  <c r="Q18" i="9"/>
  <c r="Q17" i="9"/>
  <c r="R17" i="9" s="1"/>
  <c r="Q16" i="9"/>
  <c r="R16" i="9" s="1"/>
  <c r="H16" i="9"/>
  <c r="G16" i="9"/>
  <c r="F16" i="9"/>
  <c r="E16" i="9"/>
  <c r="D16" i="9"/>
  <c r="C16" i="9"/>
  <c r="B16" i="9"/>
  <c r="Q15" i="9"/>
  <c r="R15" i="9" s="1"/>
  <c r="I15" i="9"/>
  <c r="Q14" i="9"/>
  <c r="R14" i="9" s="1"/>
  <c r="I14" i="9"/>
  <c r="Q13" i="9"/>
  <c r="R13" i="9" s="1"/>
  <c r="Q12" i="9"/>
  <c r="R12" i="9" s="1"/>
  <c r="Q11" i="9"/>
  <c r="R11" i="9" s="1"/>
  <c r="H11" i="9"/>
  <c r="G11" i="9"/>
  <c r="F11" i="9"/>
  <c r="E11" i="9"/>
  <c r="D11" i="9"/>
  <c r="C11" i="9"/>
  <c r="B11" i="9"/>
  <c r="Q10" i="9"/>
  <c r="R10" i="9" s="1"/>
  <c r="I10" i="9"/>
  <c r="R9" i="9"/>
  <c r="Q9" i="9"/>
  <c r="I9" i="9"/>
  <c r="Q8" i="9"/>
  <c r="R8" i="9" s="1"/>
  <c r="Q7" i="9"/>
  <c r="R7" i="9" s="1"/>
  <c r="Q6" i="9"/>
  <c r="R6" i="9" s="1"/>
  <c r="H6" i="9"/>
  <c r="I6" i="9" s="1"/>
  <c r="Q5" i="9"/>
  <c r="I5" i="9"/>
  <c r="Q4" i="9"/>
  <c r="R4" i="9" s="1"/>
  <c r="I4" i="9"/>
  <c r="I151" i="8"/>
  <c r="A146" i="8"/>
  <c r="W17" i="8"/>
  <c r="W15" i="8"/>
  <c r="I152" i="8" s="1"/>
  <c r="Q69" i="7"/>
  <c r="N69" i="7"/>
  <c r="R68" i="7"/>
  <c r="P68" i="7"/>
  <c r="R67" i="7"/>
  <c r="P67" i="7"/>
  <c r="R66" i="7"/>
  <c r="P66" i="7"/>
  <c r="R65" i="7"/>
  <c r="P65" i="7"/>
  <c r="R64" i="7"/>
  <c r="P64" i="7"/>
  <c r="H61" i="7"/>
  <c r="F61" i="7"/>
  <c r="N60" i="7"/>
  <c r="H42" i="7" s="1"/>
  <c r="M60" i="7"/>
  <c r="H60" i="7"/>
  <c r="F60" i="7"/>
  <c r="O59" i="7"/>
  <c r="H59" i="7"/>
  <c r="F59" i="7"/>
  <c r="O58" i="7"/>
  <c r="H58" i="7"/>
  <c r="F58" i="7"/>
  <c r="O57" i="7"/>
  <c r="H57" i="7"/>
  <c r="F57" i="7"/>
  <c r="H56" i="7"/>
  <c r="F56" i="7"/>
  <c r="H55" i="7"/>
  <c r="F55" i="7"/>
  <c r="H54" i="7"/>
  <c r="F54" i="7"/>
  <c r="H53" i="7"/>
  <c r="F53" i="7"/>
  <c r="H52" i="7"/>
  <c r="F52" i="7"/>
  <c r="N44" i="7"/>
  <c r="H40" i="7" s="1"/>
  <c r="M44" i="7"/>
  <c r="O43" i="7"/>
  <c r="I43" i="7"/>
  <c r="O42" i="7"/>
  <c r="I42" i="7"/>
  <c r="O41" i="7"/>
  <c r="C41" i="7"/>
  <c r="O40" i="7"/>
  <c r="I40" i="7"/>
  <c r="O39" i="7"/>
  <c r="O38" i="7"/>
  <c r="O37" i="7"/>
  <c r="M31" i="7"/>
  <c r="K27" i="7"/>
  <c r="G26" i="7"/>
  <c r="F26" i="7"/>
  <c r="E26" i="7"/>
  <c r="D26" i="7"/>
  <c r="C26" i="7"/>
  <c r="B26" i="7"/>
  <c r="I26" i="7" s="1"/>
  <c r="I25" i="7"/>
  <c r="R24" i="7"/>
  <c r="Q24" i="7"/>
  <c r="I24" i="7"/>
  <c r="Q23" i="7"/>
  <c r="R23" i="7" s="1"/>
  <c r="Q22" i="7"/>
  <c r="R22" i="7" s="1"/>
  <c r="Q21" i="7"/>
  <c r="R21" i="7" s="1"/>
  <c r="H21" i="7"/>
  <c r="G21" i="7"/>
  <c r="F21" i="7"/>
  <c r="E21" i="7"/>
  <c r="D21" i="7"/>
  <c r="C21" i="7"/>
  <c r="B21" i="7"/>
  <c r="Q20" i="7"/>
  <c r="R20" i="7" s="1"/>
  <c r="I20" i="7"/>
  <c r="Q19" i="7"/>
  <c r="R19" i="7" s="1"/>
  <c r="I19" i="7"/>
  <c r="Q18" i="7"/>
  <c r="R18" i="7" s="1"/>
  <c r="Q17" i="7"/>
  <c r="R17" i="7" s="1"/>
  <c r="Q16" i="7"/>
  <c r="R16" i="7" s="1"/>
  <c r="H16" i="7"/>
  <c r="G16" i="7"/>
  <c r="F16" i="7"/>
  <c r="E16" i="7"/>
  <c r="D16" i="7"/>
  <c r="C16" i="7"/>
  <c r="B16" i="7"/>
  <c r="Q15" i="7"/>
  <c r="R15" i="7" s="1"/>
  <c r="I15" i="7"/>
  <c r="Q14" i="7"/>
  <c r="R14" i="7" s="1"/>
  <c r="I14" i="7"/>
  <c r="Q13" i="7"/>
  <c r="R13" i="7" s="1"/>
  <c r="Q12" i="7"/>
  <c r="R12" i="7" s="1"/>
  <c r="Q11" i="7"/>
  <c r="R11" i="7" s="1"/>
  <c r="H11" i="7"/>
  <c r="G11" i="7"/>
  <c r="F11" i="7"/>
  <c r="E11" i="7"/>
  <c r="D11" i="7"/>
  <c r="C11" i="7"/>
  <c r="B11" i="7"/>
  <c r="Q10" i="7"/>
  <c r="R10" i="7" s="1"/>
  <c r="I10" i="7"/>
  <c r="Q9" i="7"/>
  <c r="R9" i="7" s="1"/>
  <c r="I9" i="7"/>
  <c r="Q8" i="7"/>
  <c r="R8" i="7" s="1"/>
  <c r="Q7" i="7"/>
  <c r="R7" i="7" s="1"/>
  <c r="Q6" i="7"/>
  <c r="R6" i="7" s="1"/>
  <c r="H6" i="7"/>
  <c r="I6" i="7" s="1"/>
  <c r="Q5" i="7"/>
  <c r="R5" i="7" s="1"/>
  <c r="I5" i="7"/>
  <c r="Q4" i="7"/>
  <c r="R4" i="7" s="1"/>
  <c r="I4" i="7"/>
  <c r="I151" i="6"/>
  <c r="A146" i="6"/>
  <c r="W17" i="6"/>
  <c r="W15" i="6"/>
  <c r="F5" i="2" s="1"/>
  <c r="Q69" i="5"/>
  <c r="N69" i="5"/>
  <c r="R68" i="5"/>
  <c r="P68" i="5"/>
  <c r="R67" i="5"/>
  <c r="P67" i="5"/>
  <c r="R66" i="5"/>
  <c r="P66" i="5"/>
  <c r="R65" i="5"/>
  <c r="P65" i="5"/>
  <c r="R64" i="5"/>
  <c r="P64" i="5"/>
  <c r="H61" i="5"/>
  <c r="F61" i="5"/>
  <c r="N60" i="5"/>
  <c r="H42" i="5" s="1"/>
  <c r="M60" i="5"/>
  <c r="H60" i="5"/>
  <c r="F60" i="5"/>
  <c r="O59" i="5"/>
  <c r="H59" i="5"/>
  <c r="F59" i="5"/>
  <c r="O58" i="5"/>
  <c r="H58" i="5"/>
  <c r="F58" i="5"/>
  <c r="O57" i="5"/>
  <c r="H57" i="5"/>
  <c r="F57" i="5"/>
  <c r="H56" i="5"/>
  <c r="F56" i="5"/>
  <c r="H55" i="5"/>
  <c r="F55" i="5"/>
  <c r="H54" i="5"/>
  <c r="F54" i="5"/>
  <c r="H53" i="5"/>
  <c r="F53" i="5"/>
  <c r="F52" i="5"/>
  <c r="H52" i="5" s="1"/>
  <c r="N44" i="5"/>
  <c r="H40" i="5" s="1"/>
  <c r="M44" i="5"/>
  <c r="O43" i="5"/>
  <c r="I43" i="5"/>
  <c r="O42" i="5"/>
  <c r="I42" i="5"/>
  <c r="O41" i="5"/>
  <c r="C41" i="5"/>
  <c r="O40" i="5"/>
  <c r="I40" i="5"/>
  <c r="O39" i="5"/>
  <c r="O38" i="5"/>
  <c r="O37" i="5"/>
  <c r="M31" i="5"/>
  <c r="K27" i="5"/>
  <c r="G26" i="5"/>
  <c r="F26" i="5"/>
  <c r="E26" i="5"/>
  <c r="D26" i="5"/>
  <c r="C26" i="5"/>
  <c r="B26" i="5"/>
  <c r="I25" i="5"/>
  <c r="Q24" i="5"/>
  <c r="R24" i="5" s="1"/>
  <c r="I24" i="5"/>
  <c r="Q23" i="5"/>
  <c r="R23" i="5" s="1"/>
  <c r="Q22" i="5"/>
  <c r="R22" i="5" s="1"/>
  <c r="Q21" i="5"/>
  <c r="R21" i="5" s="1"/>
  <c r="H21" i="5"/>
  <c r="G21" i="5"/>
  <c r="F21" i="5"/>
  <c r="E21" i="5"/>
  <c r="D21" i="5"/>
  <c r="C21" i="5"/>
  <c r="B21" i="5"/>
  <c r="I21" i="5" s="1"/>
  <c r="R20" i="5"/>
  <c r="Q20" i="5"/>
  <c r="I20" i="5"/>
  <c r="R19" i="5"/>
  <c r="Q19" i="5"/>
  <c r="I19" i="5"/>
  <c r="Q18" i="5"/>
  <c r="R18" i="5" s="1"/>
  <c r="Q17" i="5"/>
  <c r="R17" i="5" s="1"/>
  <c r="Q16" i="5"/>
  <c r="R16" i="5" s="1"/>
  <c r="H16" i="5"/>
  <c r="G16" i="5"/>
  <c r="F16" i="5"/>
  <c r="E16" i="5"/>
  <c r="D16" i="5"/>
  <c r="C16" i="5"/>
  <c r="B16" i="5"/>
  <c r="Q15" i="5"/>
  <c r="R15" i="5" s="1"/>
  <c r="I15" i="5"/>
  <c r="Q14" i="5"/>
  <c r="R14" i="5" s="1"/>
  <c r="I14" i="5"/>
  <c r="Q13" i="5"/>
  <c r="R13" i="5" s="1"/>
  <c r="Q12" i="5"/>
  <c r="R12" i="5" s="1"/>
  <c r="Q11" i="5"/>
  <c r="R11" i="5" s="1"/>
  <c r="H11" i="5"/>
  <c r="G11" i="5"/>
  <c r="F11" i="5"/>
  <c r="E11" i="5"/>
  <c r="D11" i="5"/>
  <c r="C11" i="5"/>
  <c r="B11" i="5"/>
  <c r="Q10" i="5"/>
  <c r="R10" i="5" s="1"/>
  <c r="I10" i="5"/>
  <c r="R9" i="5"/>
  <c r="Q9" i="5"/>
  <c r="I9" i="5"/>
  <c r="Q8" i="5"/>
  <c r="R8" i="5" s="1"/>
  <c r="Q7" i="5"/>
  <c r="R7" i="5" s="1"/>
  <c r="Q6" i="5"/>
  <c r="R6" i="5" s="1"/>
  <c r="H6" i="5"/>
  <c r="G6" i="5"/>
  <c r="F6" i="5"/>
  <c r="E6" i="5"/>
  <c r="Q5" i="5"/>
  <c r="R5" i="5" s="1"/>
  <c r="I5" i="5"/>
  <c r="Q4" i="5"/>
  <c r="R4" i="5" s="1"/>
  <c r="I4" i="5"/>
  <c r="T98" i="3"/>
  <c r="S98" i="3"/>
  <c r="R98" i="3"/>
  <c r="I98" i="3"/>
  <c r="H98" i="3"/>
  <c r="G98" i="3"/>
  <c r="T97" i="3"/>
  <c r="S97" i="3"/>
  <c r="R97" i="3"/>
  <c r="I97" i="3"/>
  <c r="H97" i="3"/>
  <c r="G97" i="3"/>
  <c r="T96" i="3"/>
  <c r="S96" i="3"/>
  <c r="R96" i="3"/>
  <c r="I96" i="3"/>
  <c r="H96" i="3"/>
  <c r="G96" i="3"/>
  <c r="T95" i="3"/>
  <c r="S95" i="3"/>
  <c r="R95" i="3"/>
  <c r="I95" i="3"/>
  <c r="H95" i="3"/>
  <c r="G95" i="3"/>
  <c r="T94" i="3"/>
  <c r="S94" i="3"/>
  <c r="R94" i="3"/>
  <c r="I94" i="3"/>
  <c r="H94" i="3"/>
  <c r="G94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T86" i="3"/>
  <c r="S86" i="3"/>
  <c r="R86" i="3"/>
  <c r="I86" i="3"/>
  <c r="H86" i="3"/>
  <c r="G86" i="3"/>
  <c r="T85" i="3"/>
  <c r="S85" i="3"/>
  <c r="R85" i="3"/>
  <c r="K85" i="3"/>
  <c r="J85" i="3"/>
  <c r="I85" i="3"/>
  <c r="H85" i="3"/>
  <c r="G85" i="3"/>
  <c r="T84" i="3"/>
  <c r="S84" i="3"/>
  <c r="R84" i="3"/>
  <c r="I84" i="3"/>
  <c r="H84" i="3"/>
  <c r="G84" i="3"/>
  <c r="T83" i="3"/>
  <c r="S83" i="3"/>
  <c r="R83" i="3"/>
  <c r="I83" i="3"/>
  <c r="H83" i="3"/>
  <c r="G83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J76" i="3"/>
  <c r="W59" i="3" s="1"/>
  <c r="F76" i="3"/>
  <c r="T59" i="3"/>
  <c r="S59" i="3"/>
  <c r="M68" i="27" s="1"/>
  <c r="R59" i="3"/>
  <c r="M68" i="25" s="1"/>
  <c r="Q59" i="3"/>
  <c r="M68" i="23" s="1"/>
  <c r="P59" i="3"/>
  <c r="M68" i="21" s="1"/>
  <c r="O59" i="3"/>
  <c r="M68" i="19" s="1"/>
  <c r="N59" i="3"/>
  <c r="M68" i="17" s="1"/>
  <c r="M59" i="3"/>
  <c r="M68" i="15" s="1"/>
  <c r="L59" i="3"/>
  <c r="M68" i="13" s="1"/>
  <c r="K59" i="3"/>
  <c r="M68" i="11" s="1"/>
  <c r="J59" i="3"/>
  <c r="M68" i="9" s="1"/>
  <c r="I59" i="3"/>
  <c r="M68" i="7" s="1"/>
  <c r="O68" i="7" s="1"/>
  <c r="H59" i="3"/>
  <c r="M68" i="5" s="1"/>
  <c r="O68" i="5" s="1"/>
  <c r="G59" i="3"/>
  <c r="T58" i="3"/>
  <c r="S58" i="3"/>
  <c r="R58" i="3"/>
  <c r="Q58" i="3"/>
  <c r="Q98" i="3" s="1"/>
  <c r="P58" i="3"/>
  <c r="P98" i="3" s="1"/>
  <c r="O58" i="3"/>
  <c r="O98" i="3" s="1"/>
  <c r="N58" i="3"/>
  <c r="N98" i="3" s="1"/>
  <c r="M58" i="3"/>
  <c r="M98" i="3" s="1"/>
  <c r="L58" i="3"/>
  <c r="L98" i="3" s="1"/>
  <c r="K58" i="3"/>
  <c r="K98" i="3" s="1"/>
  <c r="J58" i="3"/>
  <c r="J98" i="3" s="1"/>
  <c r="I58" i="3"/>
  <c r="H58" i="3"/>
  <c r="G58" i="3"/>
  <c r="T57" i="3"/>
  <c r="S57" i="3"/>
  <c r="M52" i="27" s="1"/>
  <c r="R57" i="3"/>
  <c r="M52" i="25" s="1"/>
  <c r="Q57" i="3"/>
  <c r="M52" i="23" s="1"/>
  <c r="P57" i="3"/>
  <c r="M52" i="21" s="1"/>
  <c r="O57" i="3"/>
  <c r="M52" i="19" s="1"/>
  <c r="N57" i="3"/>
  <c r="M52" i="17" s="1"/>
  <c r="M57" i="3"/>
  <c r="M52" i="15" s="1"/>
  <c r="L57" i="3"/>
  <c r="M52" i="13" s="1"/>
  <c r="K57" i="3"/>
  <c r="M52" i="11" s="1"/>
  <c r="J57" i="3"/>
  <c r="M52" i="9" s="1"/>
  <c r="I57" i="3"/>
  <c r="M52" i="7" s="1"/>
  <c r="H57" i="3"/>
  <c r="M52" i="5" s="1"/>
  <c r="G57" i="3"/>
  <c r="T56" i="3"/>
  <c r="S56" i="3"/>
  <c r="M67" i="27" s="1"/>
  <c r="R56" i="3"/>
  <c r="M67" i="25" s="1"/>
  <c r="Q56" i="3"/>
  <c r="M67" i="23" s="1"/>
  <c r="P56" i="3"/>
  <c r="M67" i="21" s="1"/>
  <c r="O56" i="3"/>
  <c r="M67" i="19" s="1"/>
  <c r="N56" i="3"/>
  <c r="M67" i="17" s="1"/>
  <c r="M56" i="3"/>
  <c r="M67" i="15" s="1"/>
  <c r="L56" i="3"/>
  <c r="M67" i="13" s="1"/>
  <c r="K56" i="3"/>
  <c r="M67" i="11" s="1"/>
  <c r="J56" i="3"/>
  <c r="M67" i="9" s="1"/>
  <c r="I56" i="3"/>
  <c r="M67" i="7" s="1"/>
  <c r="O67" i="7" s="1"/>
  <c r="H56" i="3"/>
  <c r="M67" i="5" s="1"/>
  <c r="O67" i="5" s="1"/>
  <c r="G56" i="3"/>
  <c r="T55" i="3"/>
  <c r="S55" i="3"/>
  <c r="R55" i="3"/>
  <c r="Q55" i="3"/>
  <c r="Q97" i="3" s="1"/>
  <c r="P55" i="3"/>
  <c r="O55" i="3"/>
  <c r="N55" i="3"/>
  <c r="M55" i="3"/>
  <c r="M97" i="3" s="1"/>
  <c r="L55" i="3"/>
  <c r="L97" i="3" s="1"/>
  <c r="K55" i="3"/>
  <c r="K97" i="3" s="1"/>
  <c r="J55" i="3"/>
  <c r="I55" i="3"/>
  <c r="H55" i="3"/>
  <c r="G55" i="3"/>
  <c r="T54" i="3"/>
  <c r="S54" i="3"/>
  <c r="M51" i="27" s="1"/>
  <c r="R54" i="3"/>
  <c r="M51" i="25" s="1"/>
  <c r="Q54" i="3"/>
  <c r="M51" i="23" s="1"/>
  <c r="P54" i="3"/>
  <c r="M51" i="21" s="1"/>
  <c r="O54" i="3"/>
  <c r="M51" i="19" s="1"/>
  <c r="N54" i="3"/>
  <c r="M51" i="17" s="1"/>
  <c r="M54" i="3"/>
  <c r="M51" i="15" s="1"/>
  <c r="L54" i="3"/>
  <c r="M51" i="13" s="1"/>
  <c r="K54" i="3"/>
  <c r="M51" i="11" s="1"/>
  <c r="J54" i="3"/>
  <c r="M51" i="9" s="1"/>
  <c r="I54" i="3"/>
  <c r="M51" i="7" s="1"/>
  <c r="H54" i="3"/>
  <c r="M51" i="5" s="1"/>
  <c r="G54" i="3"/>
  <c r="T53" i="3"/>
  <c r="S53" i="3"/>
  <c r="M66" i="27" s="1"/>
  <c r="R53" i="3"/>
  <c r="M66" i="25" s="1"/>
  <c r="Q53" i="3"/>
  <c r="M66" i="23" s="1"/>
  <c r="P53" i="3"/>
  <c r="M66" i="21" s="1"/>
  <c r="O53" i="3"/>
  <c r="M66" i="19" s="1"/>
  <c r="N53" i="3"/>
  <c r="M66" i="17" s="1"/>
  <c r="M53" i="3"/>
  <c r="M66" i="15" s="1"/>
  <c r="L53" i="3"/>
  <c r="M66" i="13" s="1"/>
  <c r="K53" i="3"/>
  <c r="M66" i="11" s="1"/>
  <c r="J53" i="3"/>
  <c r="M66" i="9" s="1"/>
  <c r="I53" i="3"/>
  <c r="M66" i="7" s="1"/>
  <c r="O66" i="7" s="1"/>
  <c r="H53" i="3"/>
  <c r="M66" i="5" s="1"/>
  <c r="O66" i="5" s="1"/>
  <c r="G53" i="3"/>
  <c r="T52" i="3"/>
  <c r="S52" i="3"/>
  <c r="R52" i="3"/>
  <c r="Q52" i="3"/>
  <c r="Q96" i="3" s="1"/>
  <c r="P52" i="3"/>
  <c r="O52" i="3"/>
  <c r="N52" i="3"/>
  <c r="M52" i="3"/>
  <c r="L52" i="3"/>
  <c r="K52" i="3"/>
  <c r="K96" i="3" s="1"/>
  <c r="J52" i="3"/>
  <c r="J96" i="3" s="1"/>
  <c r="I52" i="3"/>
  <c r="H52" i="3"/>
  <c r="G52" i="3"/>
  <c r="T51" i="3"/>
  <c r="S51" i="3"/>
  <c r="M50" i="27" s="1"/>
  <c r="R51" i="3"/>
  <c r="M50" i="25" s="1"/>
  <c r="Q51" i="3"/>
  <c r="P51" i="3"/>
  <c r="M50" i="21" s="1"/>
  <c r="O51" i="3"/>
  <c r="M50" i="19" s="1"/>
  <c r="N51" i="3"/>
  <c r="M50" i="17" s="1"/>
  <c r="M51" i="3"/>
  <c r="M50" i="15" s="1"/>
  <c r="L51" i="3"/>
  <c r="M50" i="13" s="1"/>
  <c r="K51" i="3"/>
  <c r="J51" i="3"/>
  <c r="M50" i="9" s="1"/>
  <c r="I51" i="3"/>
  <c r="M50" i="7" s="1"/>
  <c r="H51" i="3"/>
  <c r="M50" i="5" s="1"/>
  <c r="G51" i="3"/>
  <c r="T50" i="3"/>
  <c r="S50" i="3"/>
  <c r="M65" i="27" s="1"/>
  <c r="R50" i="3"/>
  <c r="M65" i="25" s="1"/>
  <c r="Q50" i="3"/>
  <c r="M65" i="23" s="1"/>
  <c r="P50" i="3"/>
  <c r="M65" i="21" s="1"/>
  <c r="O50" i="3"/>
  <c r="M65" i="19" s="1"/>
  <c r="N50" i="3"/>
  <c r="M65" i="17" s="1"/>
  <c r="M50" i="3"/>
  <c r="M65" i="15" s="1"/>
  <c r="L50" i="3"/>
  <c r="M65" i="13" s="1"/>
  <c r="K50" i="3"/>
  <c r="J50" i="3"/>
  <c r="M65" i="9" s="1"/>
  <c r="I50" i="3"/>
  <c r="M65" i="7" s="1"/>
  <c r="O65" i="7" s="1"/>
  <c r="H50" i="3"/>
  <c r="M65" i="5" s="1"/>
  <c r="O65" i="5" s="1"/>
  <c r="G50" i="3"/>
  <c r="T49" i="3"/>
  <c r="S49" i="3"/>
  <c r="R49" i="3"/>
  <c r="Q49" i="3"/>
  <c r="Q95" i="3" s="1"/>
  <c r="P49" i="3"/>
  <c r="O49" i="3"/>
  <c r="O95" i="3" s="1"/>
  <c r="N49" i="3"/>
  <c r="N95" i="3" s="1"/>
  <c r="M49" i="3"/>
  <c r="L49" i="3"/>
  <c r="K49" i="3"/>
  <c r="J49" i="3"/>
  <c r="I49" i="3"/>
  <c r="H49" i="3"/>
  <c r="G49" i="3"/>
  <c r="T48" i="3"/>
  <c r="S48" i="3"/>
  <c r="M49" i="27" s="1"/>
  <c r="R48" i="3"/>
  <c r="M49" i="25" s="1"/>
  <c r="Q48" i="3"/>
  <c r="M49" i="23" s="1"/>
  <c r="P48" i="3"/>
  <c r="M49" i="21" s="1"/>
  <c r="O48" i="3"/>
  <c r="M49" i="19" s="1"/>
  <c r="N48" i="3"/>
  <c r="M49" i="17" s="1"/>
  <c r="M48" i="3"/>
  <c r="M49" i="15" s="1"/>
  <c r="L48" i="3"/>
  <c r="M49" i="13" s="1"/>
  <c r="K48" i="3"/>
  <c r="M49" i="11" s="1"/>
  <c r="J48" i="3"/>
  <c r="M49" i="9" s="1"/>
  <c r="I48" i="3"/>
  <c r="H48" i="3"/>
  <c r="M49" i="5" s="1"/>
  <c r="G48" i="3"/>
  <c r="T47" i="3"/>
  <c r="S47" i="3"/>
  <c r="M64" i="27" s="1"/>
  <c r="R47" i="3"/>
  <c r="M64" i="25" s="1"/>
  <c r="Q47" i="3"/>
  <c r="M64" i="23" s="1"/>
  <c r="P47" i="3"/>
  <c r="M64" i="21" s="1"/>
  <c r="O47" i="3"/>
  <c r="M64" i="19" s="1"/>
  <c r="N47" i="3"/>
  <c r="M64" i="17" s="1"/>
  <c r="M47" i="3"/>
  <c r="M64" i="15" s="1"/>
  <c r="L47" i="3"/>
  <c r="M64" i="13" s="1"/>
  <c r="K47" i="3"/>
  <c r="M64" i="11" s="1"/>
  <c r="J47" i="3"/>
  <c r="M64" i="9" s="1"/>
  <c r="M69" i="9" s="1"/>
  <c r="I47" i="3"/>
  <c r="H47" i="3"/>
  <c r="M64" i="5" s="1"/>
  <c r="G47" i="3"/>
  <c r="T46" i="3"/>
  <c r="S46" i="3"/>
  <c r="R46" i="3"/>
  <c r="Q46" i="3"/>
  <c r="Q94" i="3" s="1"/>
  <c r="P46" i="3"/>
  <c r="P94" i="3" s="1"/>
  <c r="O46" i="3"/>
  <c r="N46" i="3"/>
  <c r="M46" i="3"/>
  <c r="L46" i="3"/>
  <c r="K46" i="3"/>
  <c r="J46" i="3"/>
  <c r="I46" i="3"/>
  <c r="H46" i="3"/>
  <c r="G46" i="3"/>
  <c r="T45" i="3"/>
  <c r="S45" i="3"/>
  <c r="M48" i="27" s="1"/>
  <c r="R45" i="3"/>
  <c r="M48" i="25" s="1"/>
  <c r="Q45" i="3"/>
  <c r="M48" i="23" s="1"/>
  <c r="P45" i="3"/>
  <c r="M48" i="21" s="1"/>
  <c r="O45" i="3"/>
  <c r="M48" i="19" s="1"/>
  <c r="N45" i="3"/>
  <c r="M48" i="17" s="1"/>
  <c r="M45" i="3"/>
  <c r="M48" i="15" s="1"/>
  <c r="L45" i="3"/>
  <c r="M48" i="13" s="1"/>
  <c r="K45" i="3"/>
  <c r="M48" i="11" s="1"/>
  <c r="J45" i="3"/>
  <c r="M48" i="9" s="1"/>
  <c r="I45" i="3"/>
  <c r="M48" i="7" s="1"/>
  <c r="H45" i="3"/>
  <c r="M48" i="5" s="1"/>
  <c r="G45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T32" i="3"/>
  <c r="S32" i="3"/>
  <c r="R32" i="3"/>
  <c r="Q32" i="3"/>
  <c r="O32" i="3"/>
  <c r="N32" i="3"/>
  <c r="M32" i="3"/>
  <c r="L32" i="3"/>
  <c r="K32" i="3"/>
  <c r="J32" i="3"/>
  <c r="I32" i="3"/>
  <c r="H32" i="3"/>
  <c r="G32" i="3"/>
  <c r="V31" i="3"/>
  <c r="U30" i="3"/>
  <c r="U29" i="3"/>
  <c r="V28" i="3"/>
  <c r="U27" i="3"/>
  <c r="U26" i="3"/>
  <c r="V25" i="3"/>
  <c r="U24" i="3"/>
  <c r="U23" i="3"/>
  <c r="V22" i="3"/>
  <c r="U21" i="3"/>
  <c r="W22" i="3" s="1"/>
  <c r="U20" i="3"/>
  <c r="V19" i="3"/>
  <c r="U18" i="3"/>
  <c r="U17" i="3"/>
  <c r="V16" i="3"/>
  <c r="U15" i="3"/>
  <c r="U14" i="3"/>
  <c r="V13" i="3"/>
  <c r="U12" i="3"/>
  <c r="U11" i="3"/>
  <c r="V10" i="3"/>
  <c r="U9" i="3"/>
  <c r="W10" i="3" s="1"/>
  <c r="U8" i="3"/>
  <c r="V7" i="3"/>
  <c r="U6" i="3"/>
  <c r="U5" i="3"/>
  <c r="I183" i="2"/>
  <c r="I173" i="2"/>
  <c r="M173" i="2" s="1"/>
  <c r="I172" i="2"/>
  <c r="M172" i="2" s="1"/>
  <c r="M171" i="2"/>
  <c r="I171" i="2"/>
  <c r="I170" i="2"/>
  <c r="M170" i="2" s="1"/>
  <c r="I169" i="2"/>
  <c r="M169" i="2" s="1"/>
  <c r="I70" i="2"/>
  <c r="M70" i="2" s="1"/>
  <c r="I69" i="2"/>
  <c r="M69" i="2" s="1"/>
  <c r="I68" i="2"/>
  <c r="M68" i="2" s="1"/>
  <c r="M67" i="2"/>
  <c r="I67" i="2"/>
  <c r="I66" i="2"/>
  <c r="M66" i="2" s="1"/>
  <c r="I65" i="2"/>
  <c r="M65" i="2" s="1"/>
  <c r="I64" i="2"/>
  <c r="M64" i="2" s="1"/>
  <c r="I63" i="2"/>
  <c r="M63" i="2" s="1"/>
  <c r="I56" i="2"/>
  <c r="M56" i="2" s="1"/>
  <c r="I55" i="2"/>
  <c r="M55" i="2" s="1"/>
  <c r="M54" i="2"/>
  <c r="I54" i="2"/>
  <c r="I52" i="2"/>
  <c r="M52" i="2" s="1"/>
  <c r="I51" i="2"/>
  <c r="M51" i="2" s="1"/>
  <c r="M50" i="2"/>
  <c r="I50" i="2"/>
  <c r="I43" i="2"/>
  <c r="M43" i="2" s="1"/>
  <c r="I41" i="2"/>
  <c r="M41" i="2" s="1"/>
  <c r="I40" i="2"/>
  <c r="M40" i="2" s="1"/>
  <c r="I39" i="2"/>
  <c r="M39" i="2" s="1"/>
  <c r="I38" i="2"/>
  <c r="M38" i="2" s="1"/>
  <c r="I37" i="2"/>
  <c r="M37" i="2" s="1"/>
  <c r="I36" i="2"/>
  <c r="M36" i="2" s="1"/>
  <c r="I35" i="2"/>
  <c r="M35" i="2" s="1"/>
  <c r="M16" i="2"/>
  <c r="F16" i="2"/>
  <c r="A16" i="2"/>
  <c r="M15" i="2"/>
  <c r="F15" i="2"/>
  <c r="A15" i="2"/>
  <c r="M14" i="2"/>
  <c r="F14" i="2"/>
  <c r="A14" i="2"/>
  <c r="M13" i="2"/>
  <c r="F13" i="2"/>
  <c r="A13" i="2"/>
  <c r="M12" i="2"/>
  <c r="A12" i="2"/>
  <c r="M11" i="2"/>
  <c r="F11" i="2"/>
  <c r="A11" i="2"/>
  <c r="M10" i="2"/>
  <c r="F10" i="2"/>
  <c r="A10" i="2"/>
  <c r="M9" i="2"/>
  <c r="F9" i="2"/>
  <c r="A9" i="2"/>
  <c r="M8" i="2"/>
  <c r="F8" i="2"/>
  <c r="A8" i="2"/>
  <c r="M7" i="2"/>
  <c r="F7" i="2"/>
  <c r="A7" i="2"/>
  <c r="M6" i="2"/>
  <c r="F6" i="2"/>
  <c r="A6" i="2"/>
  <c r="M5" i="2"/>
  <c r="A5" i="2"/>
  <c r="Y500" i="4"/>
  <c r="I500" i="4"/>
  <c r="Q500" i="4" s="1"/>
  <c r="H500" i="4"/>
  <c r="Y499" i="4"/>
  <c r="I499" i="4"/>
  <c r="Q499" i="4" s="1"/>
  <c r="H499" i="4"/>
  <c r="Y498" i="4"/>
  <c r="I498" i="4"/>
  <c r="Q498" i="4" s="1"/>
  <c r="H498" i="4"/>
  <c r="Y497" i="4"/>
  <c r="I497" i="4"/>
  <c r="Q497" i="4" s="1"/>
  <c r="P497" i="4" s="1"/>
  <c r="R497" i="4" s="1"/>
  <c r="H497" i="4"/>
  <c r="Y496" i="4"/>
  <c r="I496" i="4"/>
  <c r="Q496" i="4" s="1"/>
  <c r="P496" i="4" s="1"/>
  <c r="R496" i="4" s="1"/>
  <c r="H496" i="4"/>
  <c r="Y495" i="4"/>
  <c r="I495" i="4"/>
  <c r="Q495" i="4" s="1"/>
  <c r="H495" i="4"/>
  <c r="Y494" i="4"/>
  <c r="I494" i="4"/>
  <c r="Q494" i="4" s="1"/>
  <c r="U494" i="4" s="1"/>
  <c r="H494" i="4"/>
  <c r="Y493" i="4"/>
  <c r="I493" i="4"/>
  <c r="Q493" i="4" s="1"/>
  <c r="H493" i="4"/>
  <c r="Y492" i="4"/>
  <c r="I492" i="4"/>
  <c r="Q492" i="4" s="1"/>
  <c r="H492" i="4"/>
  <c r="Y491" i="4"/>
  <c r="I491" i="4"/>
  <c r="Q491" i="4" s="1"/>
  <c r="H491" i="4"/>
  <c r="Y490" i="4"/>
  <c r="I490" i="4"/>
  <c r="Q490" i="4" s="1"/>
  <c r="H490" i="4"/>
  <c r="Y489" i="4"/>
  <c r="I489" i="4"/>
  <c r="Q489" i="4" s="1"/>
  <c r="T489" i="4" s="1"/>
  <c r="H489" i="4"/>
  <c r="Y488" i="4"/>
  <c r="I488" i="4"/>
  <c r="Q488" i="4" s="1"/>
  <c r="H488" i="4"/>
  <c r="Y487" i="4"/>
  <c r="I487" i="4"/>
  <c r="Q487" i="4" s="1"/>
  <c r="H487" i="4"/>
  <c r="Y486" i="4"/>
  <c r="I486" i="4"/>
  <c r="Q486" i="4" s="1"/>
  <c r="H486" i="4"/>
  <c r="Y485" i="4"/>
  <c r="I485" i="4"/>
  <c r="Q485" i="4" s="1"/>
  <c r="H485" i="4"/>
  <c r="Y484" i="4"/>
  <c r="T484" i="4"/>
  <c r="I484" i="4"/>
  <c r="Q484" i="4" s="1"/>
  <c r="H484" i="4"/>
  <c r="Y483" i="4"/>
  <c r="I483" i="4"/>
  <c r="Q483" i="4" s="1"/>
  <c r="H483" i="4"/>
  <c r="Y482" i="4"/>
  <c r="I482" i="4"/>
  <c r="Q482" i="4" s="1"/>
  <c r="H482" i="4"/>
  <c r="Y481" i="4"/>
  <c r="I481" i="4"/>
  <c r="Q481" i="4" s="1"/>
  <c r="H481" i="4"/>
  <c r="Y480" i="4"/>
  <c r="Q480" i="4"/>
  <c r="T480" i="4" s="1"/>
  <c r="I480" i="4"/>
  <c r="H480" i="4"/>
  <c r="Y479" i="4"/>
  <c r="I479" i="4"/>
  <c r="Q479" i="4" s="1"/>
  <c r="H479" i="4"/>
  <c r="Y478" i="4"/>
  <c r="I478" i="4"/>
  <c r="Q478" i="4" s="1"/>
  <c r="S478" i="4" s="1"/>
  <c r="H478" i="4"/>
  <c r="Y477" i="4"/>
  <c r="P477" i="4"/>
  <c r="R477" i="4" s="1"/>
  <c r="I477" i="4"/>
  <c r="Q477" i="4" s="1"/>
  <c r="H477" i="4"/>
  <c r="Y476" i="4"/>
  <c r="T476" i="4"/>
  <c r="P476" i="4"/>
  <c r="R476" i="4" s="1"/>
  <c r="I476" i="4"/>
  <c r="Q476" i="4" s="1"/>
  <c r="U476" i="4" s="1"/>
  <c r="H476" i="4"/>
  <c r="Y475" i="4"/>
  <c r="I475" i="4"/>
  <c r="Q475" i="4" s="1"/>
  <c r="P475" i="4" s="1"/>
  <c r="R475" i="4" s="1"/>
  <c r="H475" i="4"/>
  <c r="Y474" i="4"/>
  <c r="U474" i="4"/>
  <c r="I474" i="4"/>
  <c r="Q474" i="4" s="1"/>
  <c r="H474" i="4"/>
  <c r="Y473" i="4"/>
  <c r="I473" i="4"/>
  <c r="Q473" i="4" s="1"/>
  <c r="H473" i="4"/>
  <c r="Y472" i="4"/>
  <c r="I472" i="4"/>
  <c r="Q472" i="4" s="1"/>
  <c r="T472" i="4" s="1"/>
  <c r="H472" i="4"/>
  <c r="Y471" i="4"/>
  <c r="I471" i="4"/>
  <c r="Q471" i="4" s="1"/>
  <c r="H471" i="4"/>
  <c r="Y470" i="4"/>
  <c r="I470" i="4"/>
  <c r="Q470" i="4" s="1"/>
  <c r="U470" i="4" s="1"/>
  <c r="H470" i="4"/>
  <c r="Y469" i="4"/>
  <c r="I469" i="4"/>
  <c r="Q469" i="4" s="1"/>
  <c r="T469" i="4" s="1"/>
  <c r="H469" i="4"/>
  <c r="Y468" i="4"/>
  <c r="I468" i="4"/>
  <c r="Q468" i="4" s="1"/>
  <c r="P468" i="4" s="1"/>
  <c r="R468" i="4" s="1"/>
  <c r="H468" i="4"/>
  <c r="Y467" i="4"/>
  <c r="I467" i="4"/>
  <c r="Q467" i="4" s="1"/>
  <c r="H467" i="4"/>
  <c r="Y466" i="4"/>
  <c r="I466" i="4"/>
  <c r="Q466" i="4" s="1"/>
  <c r="P466" i="4" s="1"/>
  <c r="R466" i="4" s="1"/>
  <c r="H466" i="4"/>
  <c r="Y465" i="4"/>
  <c r="I465" i="4"/>
  <c r="Q465" i="4" s="1"/>
  <c r="H465" i="4"/>
  <c r="Y464" i="4"/>
  <c r="I464" i="4"/>
  <c r="Q464" i="4" s="1"/>
  <c r="H464" i="4"/>
  <c r="Y463" i="4"/>
  <c r="I463" i="4"/>
  <c r="Q463" i="4" s="1"/>
  <c r="H463" i="4"/>
  <c r="Y462" i="4"/>
  <c r="I462" i="4"/>
  <c r="Q462" i="4" s="1"/>
  <c r="H462" i="4"/>
  <c r="Y461" i="4"/>
  <c r="P461" i="4"/>
  <c r="R461" i="4" s="1"/>
  <c r="I461" i="4"/>
  <c r="Q461" i="4" s="1"/>
  <c r="U461" i="4" s="1"/>
  <c r="H461" i="4"/>
  <c r="Y460" i="4"/>
  <c r="I460" i="4"/>
  <c r="Q460" i="4" s="1"/>
  <c r="H460" i="4"/>
  <c r="Y459" i="4"/>
  <c r="I459" i="4"/>
  <c r="Q459" i="4" s="1"/>
  <c r="U459" i="4" s="1"/>
  <c r="H459" i="4"/>
  <c r="Y458" i="4"/>
  <c r="P458" i="4"/>
  <c r="R458" i="4" s="1"/>
  <c r="I458" i="4"/>
  <c r="Q458" i="4" s="1"/>
  <c r="T458" i="4" s="1"/>
  <c r="H458" i="4"/>
  <c r="Y457" i="4"/>
  <c r="I457" i="4"/>
  <c r="Q457" i="4" s="1"/>
  <c r="T457" i="4" s="1"/>
  <c r="H457" i="4"/>
  <c r="Y456" i="4"/>
  <c r="I456" i="4"/>
  <c r="Q456" i="4" s="1"/>
  <c r="H456" i="4"/>
  <c r="Y455" i="4"/>
  <c r="U455" i="4"/>
  <c r="I455" i="4"/>
  <c r="Q455" i="4" s="1"/>
  <c r="H455" i="4"/>
  <c r="Y454" i="4"/>
  <c r="I454" i="4"/>
  <c r="Q454" i="4" s="1"/>
  <c r="H454" i="4"/>
  <c r="Y453" i="4"/>
  <c r="Q453" i="4"/>
  <c r="T453" i="4" s="1"/>
  <c r="I453" i="4"/>
  <c r="H453" i="4"/>
  <c r="Y452" i="4"/>
  <c r="Q452" i="4"/>
  <c r="I452" i="4"/>
  <c r="H452" i="4"/>
  <c r="Y451" i="4"/>
  <c r="Q451" i="4"/>
  <c r="U451" i="4" s="1"/>
  <c r="I451" i="4"/>
  <c r="H451" i="4"/>
  <c r="Y450" i="4"/>
  <c r="U450" i="4"/>
  <c r="I450" i="4"/>
  <c r="Q450" i="4" s="1"/>
  <c r="P450" i="4" s="1"/>
  <c r="R450" i="4" s="1"/>
  <c r="H450" i="4"/>
  <c r="Y449" i="4"/>
  <c r="I449" i="4"/>
  <c r="Q449" i="4" s="1"/>
  <c r="U449" i="4" s="1"/>
  <c r="H449" i="4"/>
  <c r="Y448" i="4"/>
  <c r="I448" i="4"/>
  <c r="Q448" i="4" s="1"/>
  <c r="H448" i="4"/>
  <c r="Y447" i="4"/>
  <c r="Q447" i="4"/>
  <c r="U447" i="4" s="1"/>
  <c r="I447" i="4"/>
  <c r="H447" i="4"/>
  <c r="Y446" i="4"/>
  <c r="I446" i="4"/>
  <c r="Q446" i="4" s="1"/>
  <c r="H446" i="4"/>
  <c r="Y445" i="4"/>
  <c r="U445" i="4"/>
  <c r="I445" i="4"/>
  <c r="Q445" i="4" s="1"/>
  <c r="H445" i="4"/>
  <c r="Y444" i="4"/>
  <c r="I444" i="4"/>
  <c r="Q444" i="4" s="1"/>
  <c r="H444" i="4"/>
  <c r="Y443" i="4"/>
  <c r="I443" i="4"/>
  <c r="Q443" i="4" s="1"/>
  <c r="H443" i="4"/>
  <c r="Y442" i="4"/>
  <c r="I442" i="4"/>
  <c r="Q442" i="4" s="1"/>
  <c r="T442" i="4" s="1"/>
  <c r="H442" i="4"/>
  <c r="Y441" i="4"/>
  <c r="I441" i="4"/>
  <c r="Q441" i="4" s="1"/>
  <c r="H441" i="4"/>
  <c r="Y440" i="4"/>
  <c r="I440" i="4"/>
  <c r="Q440" i="4" s="1"/>
  <c r="P440" i="4" s="1"/>
  <c r="R440" i="4" s="1"/>
  <c r="H440" i="4"/>
  <c r="Y439" i="4"/>
  <c r="S439" i="4"/>
  <c r="I439" i="4"/>
  <c r="Q439" i="4" s="1"/>
  <c r="P439" i="4" s="1"/>
  <c r="R439" i="4" s="1"/>
  <c r="H439" i="4"/>
  <c r="Y438" i="4"/>
  <c r="I438" i="4"/>
  <c r="Q438" i="4" s="1"/>
  <c r="H438" i="4"/>
  <c r="Y437" i="4"/>
  <c r="I437" i="4"/>
  <c r="Q437" i="4" s="1"/>
  <c r="H437" i="4"/>
  <c r="Y436" i="4"/>
  <c r="I436" i="4"/>
  <c r="Q436" i="4" s="1"/>
  <c r="H436" i="4"/>
  <c r="Y435" i="4"/>
  <c r="I435" i="4"/>
  <c r="Q435" i="4" s="1"/>
  <c r="H435" i="4"/>
  <c r="Y434" i="4"/>
  <c r="I434" i="4"/>
  <c r="Q434" i="4" s="1"/>
  <c r="H434" i="4"/>
  <c r="Y433" i="4"/>
  <c r="I433" i="4"/>
  <c r="Q433" i="4" s="1"/>
  <c r="P433" i="4" s="1"/>
  <c r="R433" i="4" s="1"/>
  <c r="H433" i="4"/>
  <c r="Y432" i="4"/>
  <c r="I432" i="4"/>
  <c r="Q432" i="4" s="1"/>
  <c r="H432" i="4"/>
  <c r="Y431" i="4"/>
  <c r="I431" i="4"/>
  <c r="Q431" i="4" s="1"/>
  <c r="S431" i="4" s="1"/>
  <c r="H431" i="4"/>
  <c r="Y430" i="4"/>
  <c r="S430" i="4"/>
  <c r="I430" i="4"/>
  <c r="Q430" i="4" s="1"/>
  <c r="P430" i="4" s="1"/>
  <c r="R430" i="4" s="1"/>
  <c r="H430" i="4"/>
  <c r="Y429" i="4"/>
  <c r="I429" i="4"/>
  <c r="Q429" i="4" s="1"/>
  <c r="U429" i="4" s="1"/>
  <c r="H429" i="4"/>
  <c r="Y428" i="4"/>
  <c r="I428" i="4"/>
  <c r="Q428" i="4" s="1"/>
  <c r="U428" i="4" s="1"/>
  <c r="H428" i="4"/>
  <c r="Y427" i="4"/>
  <c r="I427" i="4"/>
  <c r="Q427" i="4" s="1"/>
  <c r="H427" i="4"/>
  <c r="Y426" i="4"/>
  <c r="I426" i="4"/>
  <c r="Q426" i="4" s="1"/>
  <c r="U426" i="4" s="1"/>
  <c r="H426" i="4"/>
  <c r="Y425" i="4"/>
  <c r="I425" i="4"/>
  <c r="Q425" i="4" s="1"/>
  <c r="U425" i="4" s="1"/>
  <c r="H425" i="4"/>
  <c r="Y424" i="4"/>
  <c r="Q424" i="4"/>
  <c r="I424" i="4"/>
  <c r="H424" i="4"/>
  <c r="Y423" i="4"/>
  <c r="I423" i="4"/>
  <c r="Q423" i="4" s="1"/>
  <c r="U423" i="4" s="1"/>
  <c r="H423" i="4"/>
  <c r="Y422" i="4"/>
  <c r="I422" i="4"/>
  <c r="Q422" i="4" s="1"/>
  <c r="H422" i="4"/>
  <c r="Y421" i="4"/>
  <c r="I421" i="4"/>
  <c r="Q421" i="4" s="1"/>
  <c r="H421" i="4"/>
  <c r="Y420" i="4"/>
  <c r="I420" i="4"/>
  <c r="Q420" i="4" s="1"/>
  <c r="T420" i="4" s="1"/>
  <c r="H420" i="4"/>
  <c r="Y419" i="4"/>
  <c r="I419" i="4"/>
  <c r="Q419" i="4" s="1"/>
  <c r="U419" i="4" s="1"/>
  <c r="H419" i="4"/>
  <c r="Y418" i="4"/>
  <c r="I418" i="4"/>
  <c r="Q418" i="4" s="1"/>
  <c r="H418" i="4"/>
  <c r="Y417" i="4"/>
  <c r="I417" i="4"/>
  <c r="Q417" i="4" s="1"/>
  <c r="H417" i="4"/>
  <c r="Y416" i="4"/>
  <c r="I416" i="4"/>
  <c r="Q416" i="4" s="1"/>
  <c r="H416" i="4"/>
  <c r="Y415" i="4"/>
  <c r="I415" i="4"/>
  <c r="Q415" i="4" s="1"/>
  <c r="H415" i="4"/>
  <c r="Y414" i="4"/>
  <c r="I414" i="4"/>
  <c r="Q414" i="4" s="1"/>
  <c r="P414" i="4" s="1"/>
  <c r="R414" i="4" s="1"/>
  <c r="H414" i="4"/>
  <c r="Y413" i="4"/>
  <c r="I413" i="4"/>
  <c r="Q413" i="4" s="1"/>
  <c r="H413" i="4"/>
  <c r="Y412" i="4"/>
  <c r="Q412" i="4"/>
  <c r="I412" i="4"/>
  <c r="H412" i="4"/>
  <c r="Y411" i="4"/>
  <c r="I411" i="4"/>
  <c r="Q411" i="4" s="1"/>
  <c r="S411" i="4" s="1"/>
  <c r="H411" i="4"/>
  <c r="Y410" i="4"/>
  <c r="U410" i="4"/>
  <c r="T410" i="4"/>
  <c r="I410" i="4"/>
  <c r="Q410" i="4" s="1"/>
  <c r="S410" i="4" s="1"/>
  <c r="H410" i="4"/>
  <c r="Y409" i="4"/>
  <c r="I409" i="4"/>
  <c r="Q409" i="4" s="1"/>
  <c r="H409" i="4"/>
  <c r="Y408" i="4"/>
  <c r="Q408" i="4"/>
  <c r="P408" i="4" s="1"/>
  <c r="R408" i="4" s="1"/>
  <c r="I408" i="4"/>
  <c r="H408" i="4"/>
  <c r="Y407" i="4"/>
  <c r="I407" i="4"/>
  <c r="Q407" i="4" s="1"/>
  <c r="H407" i="4"/>
  <c r="Y406" i="4"/>
  <c r="I406" i="4"/>
  <c r="Q406" i="4" s="1"/>
  <c r="S406" i="4" s="1"/>
  <c r="H406" i="4"/>
  <c r="Y405" i="4"/>
  <c r="I405" i="4"/>
  <c r="Q405" i="4" s="1"/>
  <c r="S405" i="4" s="1"/>
  <c r="H405" i="4"/>
  <c r="Y404" i="4"/>
  <c r="I404" i="4"/>
  <c r="Q404" i="4" s="1"/>
  <c r="S404" i="4" s="1"/>
  <c r="H404" i="4"/>
  <c r="Y403" i="4"/>
  <c r="I403" i="4"/>
  <c r="Q403" i="4" s="1"/>
  <c r="T403" i="4" s="1"/>
  <c r="H403" i="4"/>
  <c r="Y402" i="4"/>
  <c r="I402" i="4"/>
  <c r="Q402" i="4" s="1"/>
  <c r="S402" i="4" s="1"/>
  <c r="H402" i="4"/>
  <c r="Y401" i="4"/>
  <c r="U401" i="4"/>
  <c r="P401" i="4"/>
  <c r="R401" i="4" s="1"/>
  <c r="I401" i="4"/>
  <c r="Q401" i="4" s="1"/>
  <c r="S401" i="4" s="1"/>
  <c r="H401" i="4"/>
  <c r="Y400" i="4"/>
  <c r="I400" i="4"/>
  <c r="Q400" i="4" s="1"/>
  <c r="H400" i="4"/>
  <c r="Y399" i="4"/>
  <c r="U399" i="4"/>
  <c r="S399" i="4"/>
  <c r="P399" i="4"/>
  <c r="R399" i="4" s="1"/>
  <c r="I399" i="4"/>
  <c r="Q399" i="4" s="1"/>
  <c r="T399" i="4" s="1"/>
  <c r="H399" i="4"/>
  <c r="Y398" i="4"/>
  <c r="I398" i="4"/>
  <c r="Q398" i="4" s="1"/>
  <c r="H398" i="4"/>
  <c r="Y397" i="4"/>
  <c r="U397" i="4"/>
  <c r="Q397" i="4"/>
  <c r="I397" i="4"/>
  <c r="H397" i="4"/>
  <c r="Y396" i="4"/>
  <c r="I396" i="4"/>
  <c r="Q396" i="4" s="1"/>
  <c r="U396" i="4" s="1"/>
  <c r="H396" i="4"/>
  <c r="Y395" i="4"/>
  <c r="U395" i="4"/>
  <c r="S395" i="4"/>
  <c r="I395" i="4"/>
  <c r="Q395" i="4" s="1"/>
  <c r="H395" i="4"/>
  <c r="Y394" i="4"/>
  <c r="I394" i="4"/>
  <c r="Q394" i="4" s="1"/>
  <c r="U394" i="4" s="1"/>
  <c r="H394" i="4"/>
  <c r="Y393" i="4"/>
  <c r="S393" i="4"/>
  <c r="Q393" i="4"/>
  <c r="I393" i="4"/>
  <c r="H393" i="4"/>
  <c r="Y392" i="4"/>
  <c r="I392" i="4"/>
  <c r="Q392" i="4" s="1"/>
  <c r="H392" i="4"/>
  <c r="Y391" i="4"/>
  <c r="I391" i="4"/>
  <c r="Q391" i="4" s="1"/>
  <c r="H391" i="4"/>
  <c r="Y390" i="4"/>
  <c r="I390" i="4"/>
  <c r="Q390" i="4" s="1"/>
  <c r="H390" i="4"/>
  <c r="Y389" i="4"/>
  <c r="I389" i="4"/>
  <c r="Q389" i="4" s="1"/>
  <c r="H389" i="4"/>
  <c r="Y388" i="4"/>
  <c r="I388" i="4"/>
  <c r="Q388" i="4" s="1"/>
  <c r="H388" i="4"/>
  <c r="Y387" i="4"/>
  <c r="Q387" i="4"/>
  <c r="I387" i="4"/>
  <c r="H387" i="4"/>
  <c r="Y386" i="4"/>
  <c r="I386" i="4"/>
  <c r="Q386" i="4" s="1"/>
  <c r="H386" i="4"/>
  <c r="Y385" i="4"/>
  <c r="I385" i="4"/>
  <c r="Q385" i="4" s="1"/>
  <c r="U385" i="4" s="1"/>
  <c r="H385" i="4"/>
  <c r="Y384" i="4"/>
  <c r="I384" i="4"/>
  <c r="Q384" i="4" s="1"/>
  <c r="H384" i="4"/>
  <c r="Y383" i="4"/>
  <c r="I383" i="4"/>
  <c r="Q383" i="4" s="1"/>
  <c r="S383" i="4" s="1"/>
  <c r="H383" i="4"/>
  <c r="Y382" i="4"/>
  <c r="I382" i="4"/>
  <c r="Q382" i="4" s="1"/>
  <c r="H382" i="4"/>
  <c r="Y381" i="4"/>
  <c r="T381" i="4"/>
  <c r="I381" i="4"/>
  <c r="Q381" i="4" s="1"/>
  <c r="H381" i="4"/>
  <c r="Y380" i="4"/>
  <c r="Q380" i="4"/>
  <c r="I380" i="4"/>
  <c r="H380" i="4"/>
  <c r="Y379" i="4"/>
  <c r="I379" i="4"/>
  <c r="Q379" i="4" s="1"/>
  <c r="H379" i="4"/>
  <c r="Y378" i="4"/>
  <c r="I378" i="4"/>
  <c r="Q378" i="4" s="1"/>
  <c r="U378" i="4" s="1"/>
  <c r="H378" i="4"/>
  <c r="Y377" i="4"/>
  <c r="I377" i="4"/>
  <c r="Q377" i="4" s="1"/>
  <c r="U377" i="4" s="1"/>
  <c r="H377" i="4"/>
  <c r="Y376" i="4"/>
  <c r="I376" i="4"/>
  <c r="Q376" i="4" s="1"/>
  <c r="H376" i="4"/>
  <c r="Y375" i="4"/>
  <c r="I375" i="4"/>
  <c r="Q375" i="4" s="1"/>
  <c r="H375" i="4"/>
  <c r="Y374" i="4"/>
  <c r="I374" i="4"/>
  <c r="Q374" i="4" s="1"/>
  <c r="H374" i="4"/>
  <c r="Y373" i="4"/>
  <c r="I373" i="4"/>
  <c r="Q373" i="4" s="1"/>
  <c r="H373" i="4"/>
  <c r="Y372" i="4"/>
  <c r="I372" i="4"/>
  <c r="Q372" i="4" s="1"/>
  <c r="H372" i="4"/>
  <c r="Y371" i="4"/>
  <c r="I371" i="4"/>
  <c r="Q371" i="4" s="1"/>
  <c r="H371" i="4"/>
  <c r="Y370" i="4"/>
  <c r="I370" i="4"/>
  <c r="Q370" i="4" s="1"/>
  <c r="H370" i="4"/>
  <c r="Y369" i="4"/>
  <c r="I369" i="4"/>
  <c r="Q369" i="4" s="1"/>
  <c r="H369" i="4"/>
  <c r="Y368" i="4"/>
  <c r="I368" i="4"/>
  <c r="Q368" i="4" s="1"/>
  <c r="S368" i="4" s="1"/>
  <c r="H368" i="4"/>
  <c r="Y367" i="4"/>
  <c r="P367" i="4"/>
  <c r="R367" i="4" s="1"/>
  <c r="I367" i="4"/>
  <c r="Q367" i="4" s="1"/>
  <c r="T367" i="4" s="1"/>
  <c r="H367" i="4"/>
  <c r="Y366" i="4"/>
  <c r="I366" i="4"/>
  <c r="Q366" i="4" s="1"/>
  <c r="H366" i="4"/>
  <c r="Y365" i="4"/>
  <c r="I365" i="4"/>
  <c r="Q365" i="4" s="1"/>
  <c r="T365" i="4" s="1"/>
  <c r="H365" i="4"/>
  <c r="Y364" i="4"/>
  <c r="Q364" i="4"/>
  <c r="I364" i="4"/>
  <c r="H364" i="4"/>
  <c r="Y363" i="4"/>
  <c r="I363" i="4"/>
  <c r="Q363" i="4" s="1"/>
  <c r="H363" i="4"/>
  <c r="Y362" i="4"/>
  <c r="I362" i="4"/>
  <c r="Q362" i="4" s="1"/>
  <c r="H362" i="4"/>
  <c r="Y361" i="4"/>
  <c r="I361" i="4"/>
  <c r="Q361" i="4" s="1"/>
  <c r="H361" i="4"/>
  <c r="Y360" i="4"/>
  <c r="I360" i="4"/>
  <c r="Q360" i="4" s="1"/>
  <c r="H360" i="4"/>
  <c r="Y359" i="4"/>
  <c r="U359" i="4"/>
  <c r="I359" i="4"/>
  <c r="Q359" i="4" s="1"/>
  <c r="H359" i="4"/>
  <c r="Y358" i="4"/>
  <c r="I358" i="4"/>
  <c r="Q358" i="4" s="1"/>
  <c r="P358" i="4" s="1"/>
  <c r="R358" i="4" s="1"/>
  <c r="H358" i="4"/>
  <c r="Y357" i="4"/>
  <c r="I357" i="4"/>
  <c r="Q357" i="4" s="1"/>
  <c r="T357" i="4" s="1"/>
  <c r="H357" i="4"/>
  <c r="Y356" i="4"/>
  <c r="I356" i="4"/>
  <c r="Q356" i="4" s="1"/>
  <c r="U356" i="4" s="1"/>
  <c r="H356" i="4"/>
  <c r="Y355" i="4"/>
  <c r="I355" i="4"/>
  <c r="Q355" i="4" s="1"/>
  <c r="S355" i="4" s="1"/>
  <c r="H355" i="4"/>
  <c r="Y354" i="4"/>
  <c r="S354" i="4"/>
  <c r="I354" i="4"/>
  <c r="Q354" i="4" s="1"/>
  <c r="T354" i="4" s="1"/>
  <c r="H354" i="4"/>
  <c r="Y353" i="4"/>
  <c r="Q353" i="4"/>
  <c r="I353" i="4"/>
  <c r="H353" i="4"/>
  <c r="Y352" i="4"/>
  <c r="I352" i="4"/>
  <c r="Q352" i="4" s="1"/>
  <c r="S352" i="4" s="1"/>
  <c r="H352" i="4"/>
  <c r="Y351" i="4"/>
  <c r="I351" i="4"/>
  <c r="Q351" i="4" s="1"/>
  <c r="T351" i="4" s="1"/>
  <c r="H351" i="4"/>
  <c r="Y350" i="4"/>
  <c r="I350" i="4"/>
  <c r="Q350" i="4" s="1"/>
  <c r="U350" i="4" s="1"/>
  <c r="H350" i="4"/>
  <c r="Y349" i="4"/>
  <c r="I349" i="4"/>
  <c r="Q349" i="4" s="1"/>
  <c r="H349" i="4"/>
  <c r="Y348" i="4"/>
  <c r="T348" i="4"/>
  <c r="I348" i="4"/>
  <c r="Q348" i="4" s="1"/>
  <c r="H348" i="4"/>
  <c r="Y347" i="4"/>
  <c r="I347" i="4"/>
  <c r="Q347" i="4" s="1"/>
  <c r="H347" i="4"/>
  <c r="Y346" i="4"/>
  <c r="I346" i="4"/>
  <c r="Q346" i="4" s="1"/>
  <c r="H346" i="4"/>
  <c r="Y345" i="4"/>
  <c r="I345" i="4"/>
  <c r="Q345" i="4" s="1"/>
  <c r="H345" i="4"/>
  <c r="Y344" i="4"/>
  <c r="Q344" i="4"/>
  <c r="I344" i="4"/>
  <c r="H344" i="4"/>
  <c r="Y343" i="4"/>
  <c r="I343" i="4"/>
  <c r="Q343" i="4" s="1"/>
  <c r="H343" i="4"/>
  <c r="Y342" i="4"/>
  <c r="I342" i="4"/>
  <c r="Q342" i="4" s="1"/>
  <c r="U342" i="4" s="1"/>
  <c r="H342" i="4"/>
  <c r="Y341" i="4"/>
  <c r="I341" i="4"/>
  <c r="Q341" i="4" s="1"/>
  <c r="T341" i="4" s="1"/>
  <c r="H341" i="4"/>
  <c r="Y340" i="4"/>
  <c r="I340" i="4"/>
  <c r="Q340" i="4" s="1"/>
  <c r="H340" i="4"/>
  <c r="Y339" i="4"/>
  <c r="I339" i="4"/>
  <c r="Q339" i="4" s="1"/>
  <c r="H339" i="4"/>
  <c r="Y338" i="4"/>
  <c r="U338" i="4"/>
  <c r="T338" i="4"/>
  <c r="P338" i="4"/>
  <c r="R338" i="4" s="1"/>
  <c r="I338" i="4"/>
  <c r="Q338" i="4" s="1"/>
  <c r="S338" i="4" s="1"/>
  <c r="H338" i="4"/>
  <c r="Y337" i="4"/>
  <c r="I337" i="4"/>
  <c r="Q337" i="4" s="1"/>
  <c r="S337" i="4" s="1"/>
  <c r="H337" i="4"/>
  <c r="Y336" i="4"/>
  <c r="I336" i="4"/>
  <c r="Q336" i="4" s="1"/>
  <c r="U336" i="4" s="1"/>
  <c r="H336" i="4"/>
  <c r="Y335" i="4"/>
  <c r="I335" i="4"/>
  <c r="Q335" i="4" s="1"/>
  <c r="U335" i="4" s="1"/>
  <c r="H335" i="4"/>
  <c r="Y334" i="4"/>
  <c r="I334" i="4"/>
  <c r="Q334" i="4" s="1"/>
  <c r="S334" i="4" s="1"/>
  <c r="H334" i="4"/>
  <c r="Y333" i="4"/>
  <c r="I333" i="4"/>
  <c r="Q333" i="4" s="1"/>
  <c r="H333" i="4"/>
  <c r="Y332" i="4"/>
  <c r="I332" i="4"/>
  <c r="Q332" i="4" s="1"/>
  <c r="H332" i="4"/>
  <c r="Y331" i="4"/>
  <c r="I331" i="4"/>
  <c r="Q331" i="4" s="1"/>
  <c r="U331" i="4" s="1"/>
  <c r="H331" i="4"/>
  <c r="Y330" i="4"/>
  <c r="P330" i="4"/>
  <c r="R330" i="4" s="1"/>
  <c r="I330" i="4"/>
  <c r="Q330" i="4" s="1"/>
  <c r="H330" i="4"/>
  <c r="Y329" i="4"/>
  <c r="I329" i="4"/>
  <c r="Q329" i="4" s="1"/>
  <c r="H329" i="4"/>
  <c r="Y328" i="4"/>
  <c r="I328" i="4"/>
  <c r="Q328" i="4" s="1"/>
  <c r="H328" i="4"/>
  <c r="Y327" i="4"/>
  <c r="I327" i="4"/>
  <c r="Q327" i="4" s="1"/>
  <c r="H327" i="4"/>
  <c r="Y326" i="4"/>
  <c r="I326" i="4"/>
  <c r="Q326" i="4" s="1"/>
  <c r="P326" i="4" s="1"/>
  <c r="R326" i="4" s="1"/>
  <c r="H326" i="4"/>
  <c r="Y325" i="4"/>
  <c r="I325" i="4"/>
  <c r="Q325" i="4" s="1"/>
  <c r="P325" i="4" s="1"/>
  <c r="R325" i="4" s="1"/>
  <c r="H325" i="4"/>
  <c r="Y324" i="4"/>
  <c r="I324" i="4"/>
  <c r="Q324" i="4" s="1"/>
  <c r="T324" i="4" s="1"/>
  <c r="H324" i="4"/>
  <c r="Y323" i="4"/>
  <c r="Q323" i="4"/>
  <c r="I323" i="4"/>
  <c r="H323" i="4"/>
  <c r="Y322" i="4"/>
  <c r="T322" i="4"/>
  <c r="I322" i="4"/>
  <c r="Q322" i="4" s="1"/>
  <c r="S322" i="4" s="1"/>
  <c r="H322" i="4"/>
  <c r="Y321" i="4"/>
  <c r="I321" i="4"/>
  <c r="Q321" i="4" s="1"/>
  <c r="H321" i="4"/>
  <c r="Y320" i="4"/>
  <c r="I320" i="4"/>
  <c r="Q320" i="4" s="1"/>
  <c r="H320" i="4"/>
  <c r="Y319" i="4"/>
  <c r="I319" i="4"/>
  <c r="Q319" i="4" s="1"/>
  <c r="P319" i="4" s="1"/>
  <c r="R319" i="4" s="1"/>
  <c r="H319" i="4"/>
  <c r="Y318" i="4"/>
  <c r="I318" i="4"/>
  <c r="Q318" i="4" s="1"/>
  <c r="P318" i="4" s="1"/>
  <c r="R318" i="4" s="1"/>
  <c r="H318" i="4"/>
  <c r="Y317" i="4"/>
  <c r="I317" i="4"/>
  <c r="Q317" i="4" s="1"/>
  <c r="H317" i="4"/>
  <c r="Y316" i="4"/>
  <c r="Q316" i="4"/>
  <c r="P316" i="4" s="1"/>
  <c r="R316" i="4" s="1"/>
  <c r="I316" i="4"/>
  <c r="H316" i="4"/>
  <c r="Y315" i="4"/>
  <c r="Q315" i="4"/>
  <c r="I315" i="4"/>
  <c r="H315" i="4"/>
  <c r="Y314" i="4"/>
  <c r="I314" i="4"/>
  <c r="Q314" i="4" s="1"/>
  <c r="H314" i="4"/>
  <c r="Y313" i="4"/>
  <c r="I313" i="4"/>
  <c r="Q313" i="4" s="1"/>
  <c r="S313" i="4" s="1"/>
  <c r="H313" i="4"/>
  <c r="Y312" i="4"/>
  <c r="Q312" i="4"/>
  <c r="P312" i="4"/>
  <c r="R312" i="4" s="1"/>
  <c r="I312" i="4"/>
  <c r="H312" i="4"/>
  <c r="Y311" i="4"/>
  <c r="I311" i="4"/>
  <c r="Q311" i="4" s="1"/>
  <c r="P311" i="4" s="1"/>
  <c r="R311" i="4" s="1"/>
  <c r="H311" i="4"/>
  <c r="Y310" i="4"/>
  <c r="I310" i="4"/>
  <c r="Q310" i="4" s="1"/>
  <c r="H310" i="4"/>
  <c r="Y309" i="4"/>
  <c r="T309" i="4"/>
  <c r="I309" i="4"/>
  <c r="Q309" i="4" s="1"/>
  <c r="H309" i="4"/>
  <c r="Y308" i="4"/>
  <c r="Q308" i="4"/>
  <c r="I308" i="4"/>
  <c r="H308" i="4"/>
  <c r="Y307" i="4"/>
  <c r="I307" i="4"/>
  <c r="Q307" i="4" s="1"/>
  <c r="U307" i="4" s="1"/>
  <c r="H307" i="4"/>
  <c r="Y306" i="4"/>
  <c r="S306" i="4"/>
  <c r="I306" i="4"/>
  <c r="Q306" i="4" s="1"/>
  <c r="U306" i="4" s="1"/>
  <c r="H306" i="4"/>
  <c r="Y305" i="4"/>
  <c r="I305" i="4"/>
  <c r="Q305" i="4" s="1"/>
  <c r="H305" i="4"/>
  <c r="Y304" i="4"/>
  <c r="I304" i="4"/>
  <c r="Q304" i="4" s="1"/>
  <c r="U304" i="4" s="1"/>
  <c r="H304" i="4"/>
  <c r="Y303" i="4"/>
  <c r="I303" i="4"/>
  <c r="Q303" i="4" s="1"/>
  <c r="P303" i="4" s="1"/>
  <c r="R303" i="4" s="1"/>
  <c r="H303" i="4"/>
  <c r="Y302" i="4"/>
  <c r="I302" i="4"/>
  <c r="Q302" i="4" s="1"/>
  <c r="P302" i="4" s="1"/>
  <c r="R302" i="4" s="1"/>
  <c r="H302" i="4"/>
  <c r="Y301" i="4"/>
  <c r="I301" i="4"/>
  <c r="Q301" i="4" s="1"/>
  <c r="H301" i="4"/>
  <c r="Y300" i="4"/>
  <c r="I300" i="4"/>
  <c r="Q300" i="4" s="1"/>
  <c r="U300" i="4" s="1"/>
  <c r="H300" i="4"/>
  <c r="Y299" i="4"/>
  <c r="P299" i="4"/>
  <c r="R299" i="4" s="1"/>
  <c r="I299" i="4"/>
  <c r="Q299" i="4" s="1"/>
  <c r="S299" i="4" s="1"/>
  <c r="H299" i="4"/>
  <c r="Y298" i="4"/>
  <c r="I298" i="4"/>
  <c r="Q298" i="4" s="1"/>
  <c r="H298" i="4"/>
  <c r="Y297" i="4"/>
  <c r="T297" i="4"/>
  <c r="S297" i="4"/>
  <c r="I297" i="4"/>
  <c r="Q297" i="4" s="1"/>
  <c r="H297" i="4"/>
  <c r="Y296" i="4"/>
  <c r="I296" i="4"/>
  <c r="Q296" i="4" s="1"/>
  <c r="H296" i="4"/>
  <c r="Y295" i="4"/>
  <c r="T295" i="4"/>
  <c r="I295" i="4"/>
  <c r="Q295" i="4" s="1"/>
  <c r="H295" i="4"/>
  <c r="Y294" i="4"/>
  <c r="I294" i="4"/>
  <c r="Q294" i="4" s="1"/>
  <c r="S294" i="4" s="1"/>
  <c r="H294" i="4"/>
  <c r="Y293" i="4"/>
  <c r="I293" i="4"/>
  <c r="Q293" i="4" s="1"/>
  <c r="H293" i="4"/>
  <c r="Y292" i="4"/>
  <c r="I292" i="4"/>
  <c r="Q292" i="4" s="1"/>
  <c r="T292" i="4" s="1"/>
  <c r="H292" i="4"/>
  <c r="Y291" i="4"/>
  <c r="I291" i="4"/>
  <c r="Q291" i="4" s="1"/>
  <c r="H291" i="4"/>
  <c r="Y290" i="4"/>
  <c r="I290" i="4"/>
  <c r="Q290" i="4" s="1"/>
  <c r="U290" i="4" s="1"/>
  <c r="H290" i="4"/>
  <c r="Y289" i="4"/>
  <c r="S289" i="4"/>
  <c r="I289" i="4"/>
  <c r="Q289" i="4" s="1"/>
  <c r="H289" i="4"/>
  <c r="Y288" i="4"/>
  <c r="I288" i="4"/>
  <c r="Q288" i="4" s="1"/>
  <c r="H288" i="4"/>
  <c r="Y287" i="4"/>
  <c r="I287" i="4"/>
  <c r="Q287" i="4" s="1"/>
  <c r="H287" i="4"/>
  <c r="Y286" i="4"/>
  <c r="U286" i="4"/>
  <c r="I286" i="4"/>
  <c r="Q286" i="4" s="1"/>
  <c r="P286" i="4" s="1"/>
  <c r="R286" i="4" s="1"/>
  <c r="H286" i="4"/>
  <c r="Y285" i="4"/>
  <c r="I285" i="4"/>
  <c r="Q285" i="4" s="1"/>
  <c r="T285" i="4" s="1"/>
  <c r="H285" i="4"/>
  <c r="Y284" i="4"/>
  <c r="I284" i="4"/>
  <c r="Q284" i="4" s="1"/>
  <c r="H284" i="4"/>
  <c r="Y283" i="4"/>
  <c r="Q283" i="4"/>
  <c r="P283" i="4" s="1"/>
  <c r="R283" i="4" s="1"/>
  <c r="I283" i="4"/>
  <c r="H283" i="4"/>
  <c r="Y282" i="4"/>
  <c r="I282" i="4"/>
  <c r="Q282" i="4" s="1"/>
  <c r="H282" i="4"/>
  <c r="Y281" i="4"/>
  <c r="I281" i="4"/>
  <c r="Q281" i="4" s="1"/>
  <c r="S281" i="4" s="1"/>
  <c r="H281" i="4"/>
  <c r="Y280" i="4"/>
  <c r="I280" i="4"/>
  <c r="Q280" i="4" s="1"/>
  <c r="H280" i="4"/>
  <c r="Y279" i="4"/>
  <c r="I279" i="4"/>
  <c r="Q279" i="4" s="1"/>
  <c r="H279" i="4"/>
  <c r="Y278" i="4"/>
  <c r="I278" i="4"/>
  <c r="Q278" i="4" s="1"/>
  <c r="H278" i="4"/>
  <c r="Y277" i="4"/>
  <c r="I277" i="4"/>
  <c r="Q277" i="4" s="1"/>
  <c r="H277" i="4"/>
  <c r="Y276" i="4"/>
  <c r="I276" i="4"/>
  <c r="Q276" i="4" s="1"/>
  <c r="P276" i="4" s="1"/>
  <c r="R276" i="4" s="1"/>
  <c r="H276" i="4"/>
  <c r="Y275" i="4"/>
  <c r="I275" i="4"/>
  <c r="Q275" i="4" s="1"/>
  <c r="P275" i="4" s="1"/>
  <c r="R275" i="4" s="1"/>
  <c r="H275" i="4"/>
  <c r="Y274" i="4"/>
  <c r="Q274" i="4"/>
  <c r="U274" i="4" s="1"/>
  <c r="I274" i="4"/>
  <c r="H274" i="4"/>
  <c r="Y273" i="4"/>
  <c r="I273" i="4"/>
  <c r="Q273" i="4" s="1"/>
  <c r="H273" i="4"/>
  <c r="Y272" i="4"/>
  <c r="Q272" i="4"/>
  <c r="P272" i="4" s="1"/>
  <c r="R272" i="4" s="1"/>
  <c r="I272" i="4"/>
  <c r="H272" i="4"/>
  <c r="Y271" i="4"/>
  <c r="I271" i="4"/>
  <c r="Q271" i="4" s="1"/>
  <c r="H271" i="4"/>
  <c r="Y270" i="4"/>
  <c r="P270" i="4"/>
  <c r="R270" i="4" s="1"/>
  <c r="I270" i="4"/>
  <c r="Q270" i="4" s="1"/>
  <c r="U270" i="4" s="1"/>
  <c r="H270" i="4"/>
  <c r="Y269" i="4"/>
  <c r="I269" i="4"/>
  <c r="Q269" i="4" s="1"/>
  <c r="P269" i="4" s="1"/>
  <c r="R269" i="4" s="1"/>
  <c r="H269" i="4"/>
  <c r="Y268" i="4"/>
  <c r="I268" i="4"/>
  <c r="Q268" i="4" s="1"/>
  <c r="H268" i="4"/>
  <c r="Y267" i="4"/>
  <c r="I267" i="4"/>
  <c r="Q267" i="4" s="1"/>
  <c r="H267" i="4"/>
  <c r="Y266" i="4"/>
  <c r="I266" i="4"/>
  <c r="Q266" i="4" s="1"/>
  <c r="H266" i="4"/>
  <c r="Y265" i="4"/>
  <c r="P265" i="4"/>
  <c r="R265" i="4" s="1"/>
  <c r="I265" i="4"/>
  <c r="Q265" i="4" s="1"/>
  <c r="S265" i="4" s="1"/>
  <c r="H265" i="4"/>
  <c r="Y264" i="4"/>
  <c r="T264" i="4"/>
  <c r="S264" i="4"/>
  <c r="I264" i="4"/>
  <c r="Q264" i="4" s="1"/>
  <c r="H264" i="4"/>
  <c r="Y263" i="4"/>
  <c r="I263" i="4"/>
  <c r="Q263" i="4" s="1"/>
  <c r="H263" i="4"/>
  <c r="Y262" i="4"/>
  <c r="I262" i="4"/>
  <c r="Q262" i="4" s="1"/>
  <c r="S262" i="4" s="1"/>
  <c r="H262" i="4"/>
  <c r="Y261" i="4"/>
  <c r="I261" i="4"/>
  <c r="Q261" i="4" s="1"/>
  <c r="S261" i="4" s="1"/>
  <c r="H261" i="4"/>
  <c r="Y260" i="4"/>
  <c r="I260" i="4"/>
  <c r="Q260" i="4" s="1"/>
  <c r="H260" i="4"/>
  <c r="Y259" i="4"/>
  <c r="Q259" i="4"/>
  <c r="P259" i="4" s="1"/>
  <c r="R259" i="4" s="1"/>
  <c r="I259" i="4"/>
  <c r="H259" i="4"/>
  <c r="Y258" i="4"/>
  <c r="I258" i="4"/>
  <c r="Q258" i="4" s="1"/>
  <c r="H258" i="4"/>
  <c r="Y257" i="4"/>
  <c r="I257" i="4"/>
  <c r="Q257" i="4" s="1"/>
  <c r="T257" i="4" s="1"/>
  <c r="H257" i="4"/>
  <c r="Y256" i="4"/>
  <c r="I256" i="4"/>
  <c r="Q256" i="4" s="1"/>
  <c r="P256" i="4" s="1"/>
  <c r="R256" i="4" s="1"/>
  <c r="H256" i="4"/>
  <c r="Y255" i="4"/>
  <c r="I255" i="4"/>
  <c r="Q255" i="4" s="1"/>
  <c r="U255" i="4" s="1"/>
  <c r="H255" i="4"/>
  <c r="Y254" i="4"/>
  <c r="I254" i="4"/>
  <c r="Q254" i="4" s="1"/>
  <c r="H254" i="4"/>
  <c r="Y253" i="4"/>
  <c r="I253" i="4"/>
  <c r="Q253" i="4" s="1"/>
  <c r="T253" i="4" s="1"/>
  <c r="H253" i="4"/>
  <c r="Y252" i="4"/>
  <c r="I252" i="4"/>
  <c r="Q252" i="4" s="1"/>
  <c r="U252" i="4" s="1"/>
  <c r="H252" i="4"/>
  <c r="Y251" i="4"/>
  <c r="Q251" i="4"/>
  <c r="I251" i="4"/>
  <c r="H251" i="4"/>
  <c r="Y250" i="4"/>
  <c r="I250" i="4"/>
  <c r="Q250" i="4" s="1"/>
  <c r="S250" i="4" s="1"/>
  <c r="H250" i="4"/>
  <c r="Y249" i="4"/>
  <c r="I249" i="4"/>
  <c r="Q249" i="4" s="1"/>
  <c r="H249" i="4"/>
  <c r="Y248" i="4"/>
  <c r="I248" i="4"/>
  <c r="Q248" i="4" s="1"/>
  <c r="S248" i="4" s="1"/>
  <c r="H248" i="4"/>
  <c r="Y247" i="4"/>
  <c r="I247" i="4"/>
  <c r="Q247" i="4" s="1"/>
  <c r="H247" i="4"/>
  <c r="Y246" i="4"/>
  <c r="I246" i="4"/>
  <c r="Q246" i="4" s="1"/>
  <c r="H246" i="4"/>
  <c r="Y245" i="4"/>
  <c r="I245" i="4"/>
  <c r="Q245" i="4" s="1"/>
  <c r="H245" i="4"/>
  <c r="I244" i="4"/>
  <c r="H244" i="4"/>
  <c r="I243" i="4"/>
  <c r="Y243" i="4" s="1"/>
  <c r="H243" i="4"/>
  <c r="I87" i="2" s="1"/>
  <c r="M87" i="2" s="1"/>
  <c r="I242" i="4"/>
  <c r="Y242" i="4" s="1"/>
  <c r="H242" i="4"/>
  <c r="I241" i="4"/>
  <c r="Y241" i="4" s="1"/>
  <c r="H241" i="4"/>
  <c r="I240" i="4"/>
  <c r="Y240" i="4" s="1"/>
  <c r="H240" i="4"/>
  <c r="I239" i="4"/>
  <c r="H239" i="4"/>
  <c r="I238" i="4"/>
  <c r="Y238" i="4" s="1"/>
  <c r="H238" i="4"/>
  <c r="Q237" i="4"/>
  <c r="U237" i="4" s="1"/>
  <c r="I237" i="4"/>
  <c r="Y237" i="4" s="1"/>
  <c r="H237" i="4"/>
  <c r="I236" i="4"/>
  <c r="Q236" i="4" s="1"/>
  <c r="H236" i="4"/>
  <c r="Y235" i="4"/>
  <c r="I235" i="4"/>
  <c r="Q235" i="4" s="1"/>
  <c r="H235" i="4"/>
  <c r="Q234" i="4"/>
  <c r="P234" i="4" s="1"/>
  <c r="I234" i="4"/>
  <c r="Y234" i="4" s="1"/>
  <c r="H234" i="4"/>
  <c r="I233" i="4"/>
  <c r="Y233" i="4" s="1"/>
  <c r="H233" i="4"/>
  <c r="I232" i="4"/>
  <c r="H232" i="4"/>
  <c r="I231" i="4"/>
  <c r="Y231" i="4" s="1"/>
  <c r="H231" i="4"/>
  <c r="I230" i="4"/>
  <c r="Y230" i="4" s="1"/>
  <c r="H230" i="4"/>
  <c r="Y229" i="4"/>
  <c r="T229" i="4"/>
  <c r="Q229" i="4"/>
  <c r="P229" i="4" s="1"/>
  <c r="I229" i="4"/>
  <c r="H229" i="4"/>
  <c r="I228" i="4"/>
  <c r="H228" i="4"/>
  <c r="I227" i="4"/>
  <c r="Q227" i="4" s="1"/>
  <c r="T227" i="4" s="1"/>
  <c r="H227" i="4"/>
  <c r="I226" i="4"/>
  <c r="Q226" i="4" s="1"/>
  <c r="H226" i="4"/>
  <c r="I225" i="4"/>
  <c r="Y225" i="4" s="1"/>
  <c r="H225" i="4"/>
  <c r="I224" i="4"/>
  <c r="Q224" i="4" s="1"/>
  <c r="P224" i="4" s="1"/>
  <c r="R224" i="4" s="1"/>
  <c r="H224" i="4"/>
  <c r="I223" i="4"/>
  <c r="Y223" i="4" s="1"/>
  <c r="H223" i="4"/>
  <c r="I89" i="2" s="1"/>
  <c r="M89" i="2" s="1"/>
  <c r="I222" i="4"/>
  <c r="H222" i="4"/>
  <c r="I221" i="4"/>
  <c r="Q221" i="4" s="1"/>
  <c r="T221" i="4" s="1"/>
  <c r="H221" i="4"/>
  <c r="Q220" i="4"/>
  <c r="U220" i="4" s="1"/>
  <c r="I220" i="4"/>
  <c r="Y220" i="4" s="1"/>
  <c r="H220" i="4"/>
  <c r="I219" i="4"/>
  <c r="Q219" i="4" s="1"/>
  <c r="T219" i="4" s="1"/>
  <c r="H219" i="4"/>
  <c r="I218" i="4"/>
  <c r="H218" i="4"/>
  <c r="Q217" i="4"/>
  <c r="S217" i="4" s="1"/>
  <c r="I217" i="4"/>
  <c r="Y217" i="4" s="1"/>
  <c r="H217" i="4"/>
  <c r="I216" i="4"/>
  <c r="Y216" i="4" s="1"/>
  <c r="H216" i="4"/>
  <c r="I215" i="4"/>
  <c r="Y215" i="4" s="1"/>
  <c r="H215" i="4"/>
  <c r="I214" i="4"/>
  <c r="H214" i="4"/>
  <c r="I213" i="4"/>
  <c r="H213" i="4"/>
  <c r="I212" i="4"/>
  <c r="Y212" i="4" s="1"/>
  <c r="H212" i="4"/>
  <c r="I211" i="4"/>
  <c r="H211" i="4"/>
  <c r="I210" i="4"/>
  <c r="Q210" i="4" s="1"/>
  <c r="H210" i="4"/>
  <c r="I209" i="4"/>
  <c r="Y209" i="4" s="1"/>
  <c r="H209" i="4"/>
  <c r="Q208" i="4"/>
  <c r="I208" i="4"/>
  <c r="Y208" i="4" s="1"/>
  <c r="H208" i="4"/>
  <c r="I207" i="4"/>
  <c r="H207" i="4"/>
  <c r="I206" i="4"/>
  <c r="Q206" i="4" s="1"/>
  <c r="H206" i="4"/>
  <c r="I205" i="4"/>
  <c r="H205" i="4"/>
  <c r="I204" i="4"/>
  <c r="H204" i="4"/>
  <c r="I203" i="4"/>
  <c r="H203" i="4"/>
  <c r="I202" i="4"/>
  <c r="Q202" i="4" s="1"/>
  <c r="H202" i="4"/>
  <c r="I201" i="4"/>
  <c r="Q201" i="4" s="1"/>
  <c r="H201" i="4"/>
  <c r="I200" i="4"/>
  <c r="H200" i="4"/>
  <c r="I199" i="4"/>
  <c r="H199" i="4"/>
  <c r="I198" i="4"/>
  <c r="Q198" i="4" s="1"/>
  <c r="H198" i="4"/>
  <c r="I197" i="4"/>
  <c r="H197" i="4"/>
  <c r="I196" i="4"/>
  <c r="H196" i="4"/>
  <c r="I195" i="4"/>
  <c r="H195" i="4"/>
  <c r="I194" i="4"/>
  <c r="Q194" i="4" s="1"/>
  <c r="H194" i="4"/>
  <c r="I193" i="4"/>
  <c r="H193" i="4"/>
  <c r="I192" i="4"/>
  <c r="Q192" i="4" s="1"/>
  <c r="H192" i="4"/>
  <c r="I191" i="4"/>
  <c r="H191" i="4"/>
  <c r="I190" i="4"/>
  <c r="H190" i="4"/>
  <c r="Q189" i="4"/>
  <c r="I189" i="4"/>
  <c r="Y189" i="4" s="1"/>
  <c r="H189" i="4"/>
  <c r="I188" i="4"/>
  <c r="Y188" i="4" s="1"/>
  <c r="H188" i="4"/>
  <c r="I187" i="4"/>
  <c r="H187" i="4"/>
  <c r="I186" i="4"/>
  <c r="Q186" i="4" s="1"/>
  <c r="T186" i="4" s="1"/>
  <c r="H186" i="4"/>
  <c r="I185" i="4"/>
  <c r="Q185" i="4" s="1"/>
  <c r="U185" i="4" s="1"/>
  <c r="H185" i="4"/>
  <c r="I184" i="4"/>
  <c r="Q184" i="4" s="1"/>
  <c r="T184" i="4" s="1"/>
  <c r="H184" i="4"/>
  <c r="I183" i="4"/>
  <c r="H183" i="4"/>
  <c r="I182" i="4"/>
  <c r="Q182" i="4" s="1"/>
  <c r="P182" i="4" s="1"/>
  <c r="H182" i="4"/>
  <c r="I181" i="4"/>
  <c r="Y181" i="4" s="1"/>
  <c r="H181" i="4"/>
  <c r="Q180" i="4"/>
  <c r="I180" i="4"/>
  <c r="Y180" i="4" s="1"/>
  <c r="H180" i="4"/>
  <c r="I179" i="4"/>
  <c r="Q179" i="4" s="1"/>
  <c r="P179" i="4" s="1"/>
  <c r="H179" i="4"/>
  <c r="I178" i="4"/>
  <c r="Q178" i="4" s="1"/>
  <c r="T178" i="4" s="1"/>
  <c r="H178" i="4"/>
  <c r="I177" i="4"/>
  <c r="H177" i="4"/>
  <c r="I176" i="4"/>
  <c r="Y176" i="4" s="1"/>
  <c r="H176" i="4"/>
  <c r="I175" i="4"/>
  <c r="H175" i="4"/>
  <c r="I174" i="4"/>
  <c r="H174" i="4"/>
  <c r="I173" i="4"/>
  <c r="Y173" i="4" s="1"/>
  <c r="H173" i="4"/>
  <c r="I172" i="4"/>
  <c r="Y172" i="4" s="1"/>
  <c r="H172" i="4"/>
  <c r="I171" i="4"/>
  <c r="H171" i="4"/>
  <c r="I170" i="4"/>
  <c r="Q170" i="4" s="1"/>
  <c r="T170" i="4" s="1"/>
  <c r="H170" i="4"/>
  <c r="I169" i="4"/>
  <c r="H169" i="4"/>
  <c r="I168" i="4"/>
  <c r="H168" i="4"/>
  <c r="I167" i="4"/>
  <c r="Q167" i="4" s="1"/>
  <c r="H167" i="4"/>
  <c r="I166" i="4"/>
  <c r="Q166" i="4" s="1"/>
  <c r="H166" i="4"/>
  <c r="I165" i="4"/>
  <c r="Y165" i="4" s="1"/>
  <c r="H165" i="4"/>
  <c r="Q164" i="4"/>
  <c r="P164" i="4" s="1"/>
  <c r="I164" i="4"/>
  <c r="Y164" i="4" s="1"/>
  <c r="H164" i="4"/>
  <c r="I163" i="4"/>
  <c r="Y163" i="4" s="1"/>
  <c r="H163" i="4"/>
  <c r="I162" i="4"/>
  <c r="Q162" i="4" s="1"/>
  <c r="S162" i="4" s="1"/>
  <c r="H162" i="4"/>
  <c r="Y161" i="4"/>
  <c r="I161" i="4"/>
  <c r="Q161" i="4" s="1"/>
  <c r="U161" i="4" s="1"/>
  <c r="H161" i="4"/>
  <c r="I160" i="4"/>
  <c r="H160" i="4"/>
  <c r="I159" i="4"/>
  <c r="Q159" i="4" s="1"/>
  <c r="U159" i="4" s="1"/>
  <c r="H159" i="4"/>
  <c r="I158" i="4"/>
  <c r="H158" i="4"/>
  <c r="I157" i="4"/>
  <c r="Y157" i="4" s="1"/>
  <c r="N97" i="3" s="1"/>
  <c r="H157" i="4"/>
  <c r="I156" i="4"/>
  <c r="Y156" i="4" s="1"/>
  <c r="N96" i="3" s="1"/>
  <c r="H156" i="4"/>
  <c r="I155" i="4"/>
  <c r="Y155" i="4" s="1"/>
  <c r="H155" i="4"/>
  <c r="I154" i="4"/>
  <c r="H154" i="4"/>
  <c r="I153" i="4"/>
  <c r="H153" i="4"/>
  <c r="Y152" i="4"/>
  <c r="Q152" i="4"/>
  <c r="T152" i="4" s="1"/>
  <c r="I152" i="4"/>
  <c r="H152" i="4"/>
  <c r="I151" i="4"/>
  <c r="Q151" i="4" s="1"/>
  <c r="H151" i="4"/>
  <c r="I150" i="4"/>
  <c r="H150" i="4"/>
  <c r="I149" i="4"/>
  <c r="Y149" i="4" s="1"/>
  <c r="H149" i="4"/>
  <c r="I148" i="4"/>
  <c r="Y148" i="4" s="1"/>
  <c r="H148" i="4"/>
  <c r="I147" i="4"/>
  <c r="Q147" i="4" s="1"/>
  <c r="H147" i="4"/>
  <c r="I146" i="4"/>
  <c r="H146" i="4"/>
  <c r="I145" i="4"/>
  <c r="Q145" i="4" s="1"/>
  <c r="U145" i="4" s="1"/>
  <c r="H145" i="4"/>
  <c r="Y144" i="4"/>
  <c r="U144" i="4"/>
  <c r="Q144" i="4"/>
  <c r="I144" i="4"/>
  <c r="H144" i="4"/>
  <c r="I143" i="4"/>
  <c r="H143" i="4"/>
  <c r="I142" i="4"/>
  <c r="H142" i="4"/>
  <c r="I141" i="4"/>
  <c r="Y141" i="4" s="1"/>
  <c r="H141" i="4"/>
  <c r="Q140" i="4"/>
  <c r="P140" i="4" s="1"/>
  <c r="I140" i="4"/>
  <c r="Y140" i="4" s="1"/>
  <c r="H140" i="4"/>
  <c r="Y139" i="4"/>
  <c r="Q139" i="4"/>
  <c r="S139" i="4" s="1"/>
  <c r="I139" i="4"/>
  <c r="H139" i="4"/>
  <c r="I138" i="4"/>
  <c r="H138" i="4"/>
  <c r="I137" i="4"/>
  <c r="Q137" i="4" s="1"/>
  <c r="T137" i="4" s="1"/>
  <c r="H137" i="4"/>
  <c r="Q136" i="4"/>
  <c r="U136" i="4" s="1"/>
  <c r="I136" i="4"/>
  <c r="Y136" i="4" s="1"/>
  <c r="H136" i="4"/>
  <c r="I135" i="4"/>
  <c r="Q135" i="4" s="1"/>
  <c r="U135" i="4" s="1"/>
  <c r="H135" i="4"/>
  <c r="I134" i="4"/>
  <c r="H134" i="4"/>
  <c r="I133" i="4"/>
  <c r="H133" i="4"/>
  <c r="Q132" i="4"/>
  <c r="I132" i="4"/>
  <c r="Y132" i="4" s="1"/>
  <c r="H132" i="4"/>
  <c r="I131" i="4"/>
  <c r="H131" i="4"/>
  <c r="I130" i="4"/>
  <c r="H130" i="4"/>
  <c r="I129" i="4"/>
  <c r="Q129" i="4" s="1"/>
  <c r="H129" i="4"/>
  <c r="I128" i="4"/>
  <c r="H128" i="4"/>
  <c r="I127" i="4"/>
  <c r="H127" i="4"/>
  <c r="I126" i="4"/>
  <c r="H126" i="4"/>
  <c r="I125" i="4"/>
  <c r="H125" i="4"/>
  <c r="I124" i="4"/>
  <c r="H124" i="4"/>
  <c r="I123" i="4"/>
  <c r="Y123" i="4" s="1"/>
  <c r="H123" i="4"/>
  <c r="I122" i="4"/>
  <c r="Q122" i="4" s="1"/>
  <c r="S122" i="4" s="1"/>
  <c r="H122" i="4"/>
  <c r="I121" i="4"/>
  <c r="H121" i="4"/>
  <c r="I120" i="4"/>
  <c r="Y120" i="4" s="1"/>
  <c r="H120" i="4"/>
  <c r="I119" i="4"/>
  <c r="H119" i="4"/>
  <c r="I118" i="4"/>
  <c r="H118" i="4"/>
  <c r="I117" i="4"/>
  <c r="Y117" i="4" s="1"/>
  <c r="H117" i="4"/>
  <c r="I116" i="4"/>
  <c r="Y116" i="4" s="1"/>
  <c r="H116" i="4"/>
  <c r="Q115" i="4"/>
  <c r="I115" i="4"/>
  <c r="Y115" i="4" s="1"/>
  <c r="H115" i="4"/>
  <c r="I114" i="4"/>
  <c r="Y114" i="4" s="1"/>
  <c r="H114" i="4"/>
  <c r="I113" i="4"/>
  <c r="Q113" i="4" s="1"/>
  <c r="U113" i="4" s="1"/>
  <c r="H113" i="4"/>
  <c r="I112" i="4"/>
  <c r="H112" i="4"/>
  <c r="I111" i="4"/>
  <c r="H111" i="4"/>
  <c r="I110" i="4"/>
  <c r="H110" i="4"/>
  <c r="I109" i="4"/>
  <c r="H109" i="4"/>
  <c r="I108" i="4"/>
  <c r="H108" i="4"/>
  <c r="Y107" i="4"/>
  <c r="I107" i="4"/>
  <c r="Q107" i="4" s="1"/>
  <c r="P107" i="4" s="1"/>
  <c r="H107" i="4"/>
  <c r="I106" i="4"/>
  <c r="Q106" i="4" s="1"/>
  <c r="H106" i="4"/>
  <c r="I105" i="4"/>
  <c r="Q105" i="4" s="1"/>
  <c r="H105" i="4"/>
  <c r="C10" i="4" s="1"/>
  <c r="F10" i="4" s="1"/>
  <c r="I104" i="4"/>
  <c r="Q104" i="4" s="1"/>
  <c r="T104" i="4" s="1"/>
  <c r="H104" i="4"/>
  <c r="I103" i="4"/>
  <c r="Q103" i="4" s="1"/>
  <c r="P103" i="4" s="1"/>
  <c r="H103" i="4"/>
  <c r="D8" i="4" s="1"/>
  <c r="I102" i="4"/>
  <c r="Q102" i="4" s="1"/>
  <c r="S102" i="4" s="1"/>
  <c r="H102" i="4"/>
  <c r="I101" i="4"/>
  <c r="Q101" i="4" s="1"/>
  <c r="P101" i="4" s="1"/>
  <c r="H101" i="4"/>
  <c r="I100" i="4"/>
  <c r="H100" i="4"/>
  <c r="I99" i="4"/>
  <c r="Y99" i="4" s="1"/>
  <c r="H99" i="4"/>
  <c r="Y98" i="4"/>
  <c r="I98" i="4"/>
  <c r="Q98" i="4" s="1"/>
  <c r="H98" i="4"/>
  <c r="Y97" i="4"/>
  <c r="U97" i="4"/>
  <c r="T97" i="4"/>
  <c r="S97" i="4"/>
  <c r="I97" i="4"/>
  <c r="Q97" i="4" s="1"/>
  <c r="P97" i="4" s="1"/>
  <c r="R97" i="4" s="1"/>
  <c r="H97" i="4"/>
  <c r="Q96" i="4"/>
  <c r="I96" i="4"/>
  <c r="Y96" i="4" s="1"/>
  <c r="H96" i="4"/>
  <c r="I95" i="4"/>
  <c r="Q95" i="4" s="1"/>
  <c r="P95" i="4" s="1"/>
  <c r="H95" i="4"/>
  <c r="D13" i="4" s="1"/>
  <c r="Q94" i="4"/>
  <c r="P94" i="4" s="1"/>
  <c r="I94" i="4"/>
  <c r="Y94" i="4" s="1"/>
  <c r="H94" i="4"/>
  <c r="I93" i="4"/>
  <c r="H93" i="4"/>
  <c r="Q92" i="4"/>
  <c r="P92" i="4" s="1"/>
  <c r="I92" i="4"/>
  <c r="Y92" i="4" s="1"/>
  <c r="H92" i="4"/>
  <c r="I91" i="4"/>
  <c r="H91" i="4"/>
  <c r="I90" i="4"/>
  <c r="Q90" i="4" s="1"/>
  <c r="S90" i="4" s="1"/>
  <c r="H90" i="4"/>
  <c r="Y89" i="4"/>
  <c r="I89" i="4"/>
  <c r="Q89" i="4" s="1"/>
  <c r="S89" i="4" s="1"/>
  <c r="H89" i="4"/>
  <c r="I88" i="4"/>
  <c r="Y88" i="4" s="1"/>
  <c r="H88" i="4"/>
  <c r="I87" i="4"/>
  <c r="Q87" i="4" s="1"/>
  <c r="H87" i="4"/>
  <c r="I86" i="4"/>
  <c r="Y86" i="4" s="1"/>
  <c r="H86" i="4"/>
  <c r="I85" i="4"/>
  <c r="Y85" i="4" s="1"/>
  <c r="H85" i="4"/>
  <c r="I84" i="4"/>
  <c r="Y84" i="4" s="1"/>
  <c r="D29" i="4" s="1"/>
  <c r="H84" i="4"/>
  <c r="U83" i="4"/>
  <c r="Q83" i="4"/>
  <c r="P83" i="4" s="1"/>
  <c r="I83" i="4"/>
  <c r="Y83" i="4" s="1"/>
  <c r="H83" i="4"/>
  <c r="I82" i="4"/>
  <c r="Y82" i="4" s="1"/>
  <c r="K95" i="3" s="1"/>
  <c r="H82" i="4"/>
  <c r="T81" i="4"/>
  <c r="I81" i="4"/>
  <c r="Q81" i="4" s="1"/>
  <c r="H81" i="4"/>
  <c r="I80" i="4"/>
  <c r="Q80" i="4" s="1"/>
  <c r="H80" i="4"/>
  <c r="I79" i="4"/>
  <c r="H79" i="4"/>
  <c r="I78" i="4"/>
  <c r="Q78" i="4" s="1"/>
  <c r="S78" i="4" s="1"/>
  <c r="H78" i="4"/>
  <c r="I77" i="4"/>
  <c r="Q77" i="4" s="1"/>
  <c r="H77" i="4"/>
  <c r="I76" i="4"/>
  <c r="H76" i="4"/>
  <c r="Y75" i="4"/>
  <c r="I75" i="4"/>
  <c r="Q75" i="4" s="1"/>
  <c r="U75" i="4" s="1"/>
  <c r="H75" i="4"/>
  <c r="I74" i="4"/>
  <c r="Y74" i="4" s="1"/>
  <c r="H74" i="4"/>
  <c r="I73" i="4"/>
  <c r="H73" i="4"/>
  <c r="I72" i="4"/>
  <c r="Y72" i="4" s="1"/>
  <c r="J95" i="3" s="1"/>
  <c r="H72" i="4"/>
  <c r="I71" i="4"/>
  <c r="Y71" i="4" s="1"/>
  <c r="J94" i="3" s="1"/>
  <c r="H71" i="4"/>
  <c r="I70" i="4"/>
  <c r="Y70" i="4" s="1"/>
  <c r="H70" i="4"/>
  <c r="I69" i="4"/>
  <c r="Y69" i="4" s="1"/>
  <c r="H69" i="4"/>
  <c r="I68" i="4"/>
  <c r="Y68" i="4" s="1"/>
  <c r="C30" i="4" s="1"/>
  <c r="H68" i="4"/>
  <c r="Q67" i="4"/>
  <c r="S67" i="4" s="1"/>
  <c r="I67" i="4"/>
  <c r="Y67" i="4" s="1"/>
  <c r="H67" i="4"/>
  <c r="I66" i="4"/>
  <c r="H66" i="4"/>
  <c r="I65" i="4"/>
  <c r="Q65" i="4" s="1"/>
  <c r="T65" i="4" s="1"/>
  <c r="H65" i="4"/>
  <c r="I64" i="4"/>
  <c r="Q64" i="4" s="1"/>
  <c r="P64" i="4" s="1"/>
  <c r="H64" i="4"/>
  <c r="B35" i="4"/>
  <c r="V35" i="4" s="1"/>
  <c r="L32" i="4"/>
  <c r="K32" i="4"/>
  <c r="L30" i="4"/>
  <c r="K30" i="4"/>
  <c r="L29" i="4"/>
  <c r="K29" i="4"/>
  <c r="C29" i="4"/>
  <c r="L28" i="4"/>
  <c r="K28" i="4"/>
  <c r="L27" i="4"/>
  <c r="K27" i="4"/>
  <c r="J27" i="4"/>
  <c r="L76" i="3" s="1"/>
  <c r="M183" i="2" s="1"/>
  <c r="I27" i="4"/>
  <c r="H27" i="4"/>
  <c r="G27" i="4"/>
  <c r="F27" i="4"/>
  <c r="E27" i="4"/>
  <c r="D27" i="4"/>
  <c r="C27" i="4"/>
  <c r="L26" i="4"/>
  <c r="K26" i="4"/>
  <c r="L25" i="4"/>
  <c r="K25" i="4"/>
  <c r="D25" i="4"/>
  <c r="C25" i="4"/>
  <c r="L24" i="4"/>
  <c r="K24" i="4"/>
  <c r="L23" i="4"/>
  <c r="K23" i="4"/>
  <c r="L22" i="4"/>
  <c r="K22" i="4"/>
  <c r="E13" i="4"/>
  <c r="I12" i="4"/>
  <c r="H12" i="4"/>
  <c r="D12" i="4"/>
  <c r="E12" i="4" s="1"/>
  <c r="C12" i="4"/>
  <c r="B12" i="4"/>
  <c r="I11" i="4"/>
  <c r="H11" i="4"/>
  <c r="D11" i="4"/>
  <c r="C11" i="4"/>
  <c r="F11" i="4" s="1"/>
  <c r="I10" i="4"/>
  <c r="I9" i="4"/>
  <c r="H9" i="4"/>
  <c r="D9" i="4"/>
  <c r="C9" i="4"/>
  <c r="J9" i="4" s="1"/>
  <c r="H8" i="4"/>
  <c r="C6" i="28"/>
  <c r="C9" i="26"/>
  <c r="C8" i="24"/>
  <c r="C9" i="22"/>
  <c r="C10" i="20"/>
  <c r="C4" i="20"/>
  <c r="C9" i="16"/>
  <c r="C3" i="16"/>
  <c r="C3" i="14"/>
  <c r="C5" i="12"/>
  <c r="C4" i="10"/>
  <c r="C6" i="8"/>
  <c r="C5" i="6"/>
  <c r="C10" i="28"/>
  <c r="C5" i="28"/>
  <c r="C8" i="26"/>
  <c r="C8" i="22"/>
  <c r="C9" i="20"/>
  <c r="C3" i="20"/>
  <c r="C7" i="18"/>
  <c r="C8" i="16"/>
  <c r="C8" i="14"/>
  <c r="C10" i="12"/>
  <c r="C4" i="12"/>
  <c r="C3" i="10"/>
  <c r="C10" i="8"/>
  <c r="C10" i="6"/>
  <c r="C9" i="28"/>
  <c r="C7" i="26"/>
  <c r="C7" i="24"/>
  <c r="C4" i="28"/>
  <c r="C6" i="26"/>
  <c r="C6" i="24"/>
  <c r="C6" i="22"/>
  <c r="C8" i="20"/>
  <c r="C5" i="18"/>
  <c r="C6" i="14"/>
  <c r="C9" i="12"/>
  <c r="C9" i="10"/>
  <c r="C9" i="8"/>
  <c r="C4" i="8"/>
  <c r="C8" i="28"/>
  <c r="C5" i="24"/>
  <c r="C5" i="22"/>
  <c r="C7" i="20"/>
  <c r="C10" i="18"/>
  <c r="C6" i="16"/>
  <c r="C8" i="12"/>
  <c r="C8" i="10"/>
  <c r="C8" i="8"/>
  <c r="C8" i="6"/>
  <c r="C3" i="6"/>
  <c r="C3" i="28"/>
  <c r="C5" i="26"/>
  <c r="C4" i="24"/>
  <c r="C4" i="22"/>
  <c r="C7" i="28"/>
  <c r="C10" i="26"/>
  <c r="C4" i="26"/>
  <c r="C10" i="24"/>
  <c r="C3" i="26"/>
  <c r="C9" i="24"/>
  <c r="C3" i="24"/>
  <c r="C7" i="22"/>
  <c r="C5" i="20"/>
  <c r="C6" i="12"/>
  <c r="C6" i="6"/>
  <c r="C3" i="22"/>
  <c r="C9" i="18"/>
  <c r="C10" i="16"/>
  <c r="C9" i="14"/>
  <c r="C7" i="8"/>
  <c r="C4" i="6"/>
  <c r="C7" i="16"/>
  <c r="C7" i="14"/>
  <c r="C3" i="12"/>
  <c r="C8" i="18"/>
  <c r="C5" i="16"/>
  <c r="C5" i="14"/>
  <c r="C10" i="10"/>
  <c r="C5" i="8"/>
  <c r="C6" i="18"/>
  <c r="C4" i="16"/>
  <c r="C7" i="10"/>
  <c r="C3" i="8"/>
  <c r="C4" i="18"/>
  <c r="C4" i="14"/>
  <c r="C6" i="10"/>
  <c r="C9" i="6"/>
  <c r="C6" i="20"/>
  <c r="C5" i="10"/>
  <c r="C10" i="22"/>
  <c r="C3" i="18"/>
  <c r="C10" i="14"/>
  <c r="C7" i="12"/>
  <c r="C7" i="6"/>
  <c r="P266" i="4" l="1"/>
  <c r="R266" i="4" s="1"/>
  <c r="T266" i="4"/>
  <c r="S266" i="4"/>
  <c r="I8" i="4"/>
  <c r="K8" i="4" s="1"/>
  <c r="K16" i="4" s="1"/>
  <c r="C14" i="4"/>
  <c r="F14" i="4" s="1"/>
  <c r="Q142" i="4"/>
  <c r="Y142" i="4"/>
  <c r="T305" i="4"/>
  <c r="U305" i="4"/>
  <c r="S305" i="4"/>
  <c r="P498" i="4"/>
  <c r="R498" i="4" s="1"/>
  <c r="U498" i="4"/>
  <c r="Q128" i="4"/>
  <c r="Y128" i="4"/>
  <c r="Q188" i="4"/>
  <c r="Y160" i="4"/>
  <c r="Q160" i="4"/>
  <c r="Q171" i="4"/>
  <c r="S171" i="4" s="1"/>
  <c r="Y171" i="4"/>
  <c r="C13" i="4"/>
  <c r="F13" i="4" s="1"/>
  <c r="P305" i="4"/>
  <c r="R305" i="4" s="1"/>
  <c r="S314" i="4"/>
  <c r="T314" i="4"/>
  <c r="U314" i="4"/>
  <c r="P314" i="4"/>
  <c r="R314" i="4" s="1"/>
  <c r="P372" i="4"/>
  <c r="R372" i="4" s="1"/>
  <c r="S372" i="4"/>
  <c r="Q71" i="4"/>
  <c r="S71" i="4" s="1"/>
  <c r="Y78" i="4"/>
  <c r="Q99" i="4"/>
  <c r="P99" i="4" s="1"/>
  <c r="R99" i="4" s="1"/>
  <c r="Y179" i="4"/>
  <c r="Y182" i="4"/>
  <c r="T372" i="4"/>
  <c r="Q168" i="4"/>
  <c r="U168" i="4" s="1"/>
  <c r="Y168" i="4"/>
  <c r="S312" i="4"/>
  <c r="T312" i="4"/>
  <c r="U372" i="4"/>
  <c r="P407" i="4"/>
  <c r="R407" i="4" s="1"/>
  <c r="S407" i="4"/>
  <c r="S487" i="4"/>
  <c r="P487" i="4"/>
  <c r="R487" i="4" s="1"/>
  <c r="M50" i="23"/>
  <c r="H10" i="4"/>
  <c r="C7" i="4"/>
  <c r="U460" i="4"/>
  <c r="T460" i="4"/>
  <c r="S479" i="4"/>
  <c r="T479" i="4"/>
  <c r="M28" i="17"/>
  <c r="D11" i="2" s="1"/>
  <c r="Q31" i="17"/>
  <c r="I38" i="17"/>
  <c r="Y131" i="4"/>
  <c r="M95" i="3" s="1"/>
  <c r="Q131" i="4"/>
  <c r="Q177" i="4"/>
  <c r="Y177" i="4"/>
  <c r="T368" i="4"/>
  <c r="P460" i="4"/>
  <c r="R460" i="4" s="1"/>
  <c r="Y232" i="4"/>
  <c r="Q232" i="4"/>
  <c r="P232" i="4" s="1"/>
  <c r="U412" i="4"/>
  <c r="S412" i="4"/>
  <c r="S473" i="4"/>
  <c r="T473" i="4"/>
  <c r="U473" i="4"/>
  <c r="P473" i="4"/>
  <c r="R473" i="4" s="1"/>
  <c r="Y221" i="4"/>
  <c r="Y224" i="4"/>
  <c r="E11" i="4"/>
  <c r="T103" i="4"/>
  <c r="D7" i="4"/>
  <c r="Q85" i="4"/>
  <c r="Y103" i="4"/>
  <c r="S145" i="4"/>
  <c r="Q163" i="4"/>
  <c r="S163" i="4" s="1"/>
  <c r="Q216" i="4"/>
  <c r="T216" i="4" s="1"/>
  <c r="Y219" i="4"/>
  <c r="P255" i="4"/>
  <c r="R255" i="4" s="1"/>
  <c r="P257" i="4"/>
  <c r="R257" i="4" s="1"/>
  <c r="P365" i="4"/>
  <c r="R365" i="4" s="1"/>
  <c r="U367" i="4"/>
  <c r="T378" i="4"/>
  <c r="P402" i="4"/>
  <c r="R402" i="4" s="1"/>
  <c r="P442" i="4"/>
  <c r="R442" i="4" s="1"/>
  <c r="S453" i="4"/>
  <c r="U457" i="4"/>
  <c r="P470" i="4"/>
  <c r="R470" i="4" s="1"/>
  <c r="I6" i="5"/>
  <c r="I38" i="5"/>
  <c r="K5" i="2" s="1"/>
  <c r="R69" i="5"/>
  <c r="Q25" i="9"/>
  <c r="H37" i="9" s="1"/>
  <c r="I31" i="9"/>
  <c r="M31" i="13"/>
  <c r="M28" i="25"/>
  <c r="D15" i="2" s="1"/>
  <c r="S457" i="4"/>
  <c r="Y80" i="4"/>
  <c r="D15" i="4"/>
  <c r="Q123" i="4"/>
  <c r="U123" i="4" s="1"/>
  <c r="Y145" i="4"/>
  <c r="N94" i="3"/>
  <c r="S161" i="4"/>
  <c r="Q172" i="4"/>
  <c r="P95" i="3"/>
  <c r="Q233" i="4"/>
  <c r="P233" i="4" s="1"/>
  <c r="S257" i="4"/>
  <c r="S292" i="4"/>
  <c r="P406" i="4"/>
  <c r="R406" i="4" s="1"/>
  <c r="P410" i="4"/>
  <c r="R410" i="4" s="1"/>
  <c r="S420" i="4"/>
  <c r="S450" i="4"/>
  <c r="S470" i="4"/>
  <c r="P472" i="4"/>
  <c r="R472" i="4" s="1"/>
  <c r="I26" i="25"/>
  <c r="J12" i="4"/>
  <c r="C8" i="4"/>
  <c r="J8" i="4" s="1"/>
  <c r="S83" i="4"/>
  <c r="Q117" i="4"/>
  <c r="S117" i="4" s="1"/>
  <c r="Q120" i="4"/>
  <c r="P120" i="4" s="1"/>
  <c r="Q141" i="4"/>
  <c r="U152" i="4"/>
  <c r="Q155" i="4"/>
  <c r="T161" i="4"/>
  <c r="Y167" i="4"/>
  <c r="Q176" i="4"/>
  <c r="S176" i="4" s="1"/>
  <c r="Y184" i="4"/>
  <c r="U257" i="4"/>
  <c r="T450" i="4"/>
  <c r="T470" i="4"/>
  <c r="U38" i="3"/>
  <c r="U55" i="3"/>
  <c r="V59" i="3"/>
  <c r="H76" i="3" s="1"/>
  <c r="R69" i="7"/>
  <c r="I6" i="17"/>
  <c r="I11" i="11"/>
  <c r="Y87" i="4"/>
  <c r="C15" i="4"/>
  <c r="F15" i="4" s="1"/>
  <c r="Y147" i="4"/>
  <c r="Y192" i="4"/>
  <c r="S227" i="4"/>
  <c r="Q241" i="4"/>
  <c r="U241" i="4" s="1"/>
  <c r="P285" i="4"/>
  <c r="R285" i="4" s="1"/>
  <c r="P457" i="4"/>
  <c r="R457" i="4" s="1"/>
  <c r="W13" i="3"/>
  <c r="W28" i="3"/>
  <c r="I33" i="5"/>
  <c r="I11" i="5"/>
  <c r="I62" i="25"/>
  <c r="H39" i="25" s="1"/>
  <c r="W7" i="6"/>
  <c r="W7" i="12"/>
  <c r="W10" i="14"/>
  <c r="W3" i="18"/>
  <c r="W10" i="22"/>
  <c r="W5" i="10"/>
  <c r="W6" i="20"/>
  <c r="W9" i="6"/>
  <c r="W6" i="10"/>
  <c r="W4" i="14"/>
  <c r="W4" i="18"/>
  <c r="W3" i="8"/>
  <c r="W7" i="10"/>
  <c r="W4" i="16"/>
  <c r="W6" i="18"/>
  <c r="W5" i="8"/>
  <c r="W10" i="10"/>
  <c r="W5" i="14"/>
  <c r="W5" i="16"/>
  <c r="W8" i="18"/>
  <c r="W3" i="12"/>
  <c r="W7" i="14"/>
  <c r="W7" i="16"/>
  <c r="W4" i="6"/>
  <c r="W7" i="8"/>
  <c r="W9" i="14"/>
  <c r="W10" i="16"/>
  <c r="W9" i="18"/>
  <c r="W3" i="22"/>
  <c r="W6" i="6"/>
  <c r="W6" i="12"/>
  <c r="W5" i="20"/>
  <c r="W7" i="22"/>
  <c r="W3" i="24"/>
  <c r="W9" i="24"/>
  <c r="W3" i="26"/>
  <c r="W10" i="24"/>
  <c r="W4" i="26"/>
  <c r="W10" i="26"/>
  <c r="W7" i="28"/>
  <c r="W4" i="22"/>
  <c r="W4" i="24"/>
  <c r="W5" i="26"/>
  <c r="W3" i="28"/>
  <c r="W3" i="6"/>
  <c r="W8" i="6"/>
  <c r="W8" i="8"/>
  <c r="W8" i="10"/>
  <c r="W8" i="12"/>
  <c r="W6" i="16"/>
  <c r="W10" i="18"/>
  <c r="W7" i="20"/>
  <c r="W5" i="22"/>
  <c r="W5" i="24"/>
  <c r="W8" i="28"/>
  <c r="W4" i="8"/>
  <c r="W9" i="8"/>
  <c r="W9" i="10"/>
  <c r="W9" i="12"/>
  <c r="W6" i="14"/>
  <c r="W5" i="18"/>
  <c r="W8" i="20"/>
  <c r="W6" i="22"/>
  <c r="W6" i="24"/>
  <c r="W6" i="26"/>
  <c r="W4" i="28"/>
  <c r="W7" i="24"/>
  <c r="W7" i="26"/>
  <c r="W9" i="28"/>
  <c r="W10" i="6"/>
  <c r="W10" i="8"/>
  <c r="W3" i="10"/>
  <c r="W4" i="12"/>
  <c r="W10" i="12"/>
  <c r="W8" i="14"/>
  <c r="W8" i="16"/>
  <c r="W7" i="18"/>
  <c r="W3" i="20"/>
  <c r="W9" i="20"/>
  <c r="W8" i="22"/>
  <c r="W8" i="26"/>
  <c r="W5" i="28"/>
  <c r="W10" i="28"/>
  <c r="W5" i="6"/>
  <c r="W6" i="8"/>
  <c r="W4" i="10"/>
  <c r="W5" i="12"/>
  <c r="W3" i="14"/>
  <c r="W3" i="16"/>
  <c r="W9" i="16"/>
  <c r="W4" i="20"/>
  <c r="W10" i="20"/>
  <c r="W9" i="22"/>
  <c r="W8" i="24"/>
  <c r="W9" i="26"/>
  <c r="W6" i="28"/>
  <c r="W12" i="28" s="1"/>
  <c r="P271" i="4"/>
  <c r="R271" i="4" s="1"/>
  <c r="U271" i="4"/>
  <c r="U321" i="4"/>
  <c r="P321" i="4"/>
  <c r="R321" i="4" s="1"/>
  <c r="U310" i="4"/>
  <c r="P310" i="4"/>
  <c r="R310" i="4" s="1"/>
  <c r="S310" i="4"/>
  <c r="U374" i="4"/>
  <c r="T374" i="4"/>
  <c r="P374" i="4"/>
  <c r="R374" i="4" s="1"/>
  <c r="P483" i="4"/>
  <c r="R483" i="4" s="1"/>
  <c r="T483" i="4"/>
  <c r="Y93" i="4"/>
  <c r="Q93" i="4"/>
  <c r="P93" i="4" s="1"/>
  <c r="R93" i="4" s="1"/>
  <c r="Y124" i="4"/>
  <c r="Q124" i="4"/>
  <c r="Q153" i="4"/>
  <c r="Y153" i="4"/>
  <c r="Q169" i="4"/>
  <c r="Y169" i="4"/>
  <c r="Q174" i="4"/>
  <c r="P174" i="4" s="1"/>
  <c r="Y174" i="4"/>
  <c r="Q190" i="4"/>
  <c r="P190" i="4" s="1"/>
  <c r="Y190" i="4"/>
  <c r="Y197" i="4"/>
  <c r="Q197" i="4"/>
  <c r="S208" i="4"/>
  <c r="T208" i="4"/>
  <c r="Q211" i="4"/>
  <c r="T211" i="4" s="1"/>
  <c r="Y211" i="4"/>
  <c r="T283" i="4"/>
  <c r="P307" i="4"/>
  <c r="R307" i="4" s="1"/>
  <c r="T307" i="4"/>
  <c r="P347" i="4"/>
  <c r="R347" i="4" s="1"/>
  <c r="U347" i="4"/>
  <c r="T347" i="4"/>
  <c r="S380" i="4"/>
  <c r="P380" i="4"/>
  <c r="R380" i="4" s="1"/>
  <c r="T380" i="4"/>
  <c r="U380" i="4"/>
  <c r="E8" i="4"/>
  <c r="Y66" i="4"/>
  <c r="Q66" i="4"/>
  <c r="E15" i="4"/>
  <c r="T107" i="4"/>
  <c r="U107" i="4"/>
  <c r="S107" i="4"/>
  <c r="Q148" i="4"/>
  <c r="P148" i="4" s="1"/>
  <c r="Y151" i="4"/>
  <c r="S179" i="4"/>
  <c r="Y205" i="4"/>
  <c r="Q205" i="4"/>
  <c r="U208" i="4"/>
  <c r="P298" i="4"/>
  <c r="R298" i="4" s="1"/>
  <c r="T298" i="4"/>
  <c r="S298" i="4"/>
  <c r="P304" i="4"/>
  <c r="R304" i="4" s="1"/>
  <c r="P309" i="4"/>
  <c r="R309" i="4" s="1"/>
  <c r="S309" i="4"/>
  <c r="T311" i="4"/>
  <c r="S311" i="4"/>
  <c r="T343" i="4"/>
  <c r="U343" i="4"/>
  <c r="S343" i="4"/>
  <c r="S345" i="4"/>
  <c r="T345" i="4"/>
  <c r="S376" i="4"/>
  <c r="P376" i="4"/>
  <c r="R376" i="4" s="1"/>
  <c r="U376" i="4"/>
  <c r="T443" i="4"/>
  <c r="S443" i="4"/>
  <c r="T454" i="4"/>
  <c r="P454" i="4"/>
  <c r="R454" i="4" s="1"/>
  <c r="S488" i="4"/>
  <c r="P488" i="4"/>
  <c r="R488" i="4" s="1"/>
  <c r="U499" i="4"/>
  <c r="P499" i="4"/>
  <c r="R499" i="4" s="1"/>
  <c r="T64" i="4"/>
  <c r="U64" i="4"/>
  <c r="P81" i="4"/>
  <c r="U81" i="4"/>
  <c r="S81" i="4"/>
  <c r="Y91" i="4"/>
  <c r="Q91" i="4"/>
  <c r="Y122" i="4"/>
  <c r="Q134" i="4"/>
  <c r="P134" i="4" s="1"/>
  <c r="Y134" i="4"/>
  <c r="S137" i="4"/>
  <c r="P137" i="4"/>
  <c r="Q218" i="4"/>
  <c r="Y218" i="4"/>
  <c r="P320" i="4"/>
  <c r="R320" i="4" s="1"/>
  <c r="U320" i="4"/>
  <c r="U341" i="4"/>
  <c r="U345" i="4"/>
  <c r="P404" i="4"/>
  <c r="R404" i="4" s="1"/>
  <c r="U404" i="4"/>
  <c r="T404" i="4"/>
  <c r="P482" i="4"/>
  <c r="R482" i="4" s="1"/>
  <c r="S482" i="4"/>
  <c r="U115" i="4"/>
  <c r="P115" i="4"/>
  <c r="U188" i="4"/>
  <c r="P188" i="4"/>
  <c r="Y195" i="4"/>
  <c r="Q195" i="4"/>
  <c r="T362" i="4"/>
  <c r="S362" i="4"/>
  <c r="U362" i="4"/>
  <c r="P362" i="4"/>
  <c r="R362" i="4" s="1"/>
  <c r="Q79" i="4"/>
  <c r="P79" i="4" s="1"/>
  <c r="R79" i="4" s="1"/>
  <c r="Y79" i="4"/>
  <c r="S120" i="4"/>
  <c r="U120" i="4"/>
  <c r="Y64" i="4"/>
  <c r="C22" i="4" s="1"/>
  <c r="Q69" i="4"/>
  <c r="U69" i="4" s="1"/>
  <c r="Y81" i="4"/>
  <c r="K94" i="3" s="1"/>
  <c r="T83" i="4"/>
  <c r="T115" i="4"/>
  <c r="T120" i="4"/>
  <c r="U137" i="4"/>
  <c r="S168" i="4"/>
  <c r="T168" i="4"/>
  <c r="Y203" i="4"/>
  <c r="Q203" i="4"/>
  <c r="Y213" i="4"/>
  <c r="Q213" i="4"/>
  <c r="Q240" i="4"/>
  <c r="Q243" i="4"/>
  <c r="P251" i="4"/>
  <c r="R251" i="4" s="1"/>
  <c r="T251" i="4"/>
  <c r="T289" i="4"/>
  <c r="U289" i="4"/>
  <c r="P289" i="4"/>
  <c r="R289" i="4" s="1"/>
  <c r="U313" i="4"/>
  <c r="P313" i="4"/>
  <c r="R313" i="4" s="1"/>
  <c r="U348" i="4"/>
  <c r="S348" i="4"/>
  <c r="T377" i="4"/>
  <c r="S377" i="4"/>
  <c r="P377" i="4"/>
  <c r="R377" i="4" s="1"/>
  <c r="T397" i="4"/>
  <c r="P397" i="4"/>
  <c r="R397" i="4" s="1"/>
  <c r="S397" i="4"/>
  <c r="T411" i="4"/>
  <c r="Q118" i="4"/>
  <c r="Y118" i="4"/>
  <c r="U129" i="4"/>
  <c r="P129" i="4"/>
  <c r="T129" i="4"/>
  <c r="Q158" i="4"/>
  <c r="P158" i="4" s="1"/>
  <c r="Y158" i="4"/>
  <c r="U180" i="4"/>
  <c r="P180" i="4"/>
  <c r="S259" i="4"/>
  <c r="U259" i="4"/>
  <c r="T259" i="4"/>
  <c r="T267" i="4"/>
  <c r="U267" i="4"/>
  <c r="S273" i="4"/>
  <c r="T273" i="4"/>
  <c r="P273" i="4"/>
  <c r="R273" i="4" s="1"/>
  <c r="U273" i="4"/>
  <c r="T308" i="4"/>
  <c r="S308" i="4"/>
  <c r="P308" i="4"/>
  <c r="R308" i="4" s="1"/>
  <c r="T316" i="4"/>
  <c r="U316" i="4"/>
  <c r="S316" i="4"/>
  <c r="U340" i="4"/>
  <c r="T340" i="4"/>
  <c r="P340" i="4"/>
  <c r="R340" i="4" s="1"/>
  <c r="S344" i="4"/>
  <c r="T344" i="4"/>
  <c r="P346" i="4"/>
  <c r="R346" i="4" s="1"/>
  <c r="T346" i="4"/>
  <c r="S346" i="4"/>
  <c r="U346" i="4"/>
  <c r="T353" i="4"/>
  <c r="S353" i="4"/>
  <c r="T375" i="4"/>
  <c r="P375" i="4"/>
  <c r="R375" i="4" s="1"/>
  <c r="U434" i="4"/>
  <c r="P434" i="4"/>
  <c r="R434" i="4" s="1"/>
  <c r="T434" i="4"/>
  <c r="S436" i="4"/>
  <c r="U436" i="4"/>
  <c r="T436" i="4"/>
  <c r="P436" i="4"/>
  <c r="R436" i="4" s="1"/>
  <c r="P438" i="4"/>
  <c r="R438" i="4" s="1"/>
  <c r="S438" i="4"/>
  <c r="U444" i="4"/>
  <c r="T444" i="4"/>
  <c r="P444" i="4"/>
  <c r="R444" i="4" s="1"/>
  <c r="T485" i="4"/>
  <c r="S485" i="4"/>
  <c r="P485" i="4"/>
  <c r="R485" i="4" s="1"/>
  <c r="U485" i="4"/>
  <c r="P132" i="4"/>
  <c r="U132" i="4"/>
  <c r="T176" i="4"/>
  <c r="S184" i="4"/>
  <c r="U184" i="4"/>
  <c r="Y196" i="4"/>
  <c r="Q196" i="4"/>
  <c r="Q200" i="4"/>
  <c r="Y200" i="4"/>
  <c r="Y210" i="4"/>
  <c r="D10" i="4"/>
  <c r="K10" i="4" s="1"/>
  <c r="E10" i="4"/>
  <c r="P267" i="4"/>
  <c r="R267" i="4" s="1"/>
  <c r="S291" i="4"/>
  <c r="T291" i="4"/>
  <c r="U291" i="4"/>
  <c r="P291" i="4"/>
  <c r="R291" i="4" s="1"/>
  <c r="T299" i="4"/>
  <c r="U299" i="4"/>
  <c r="P301" i="4"/>
  <c r="R301" i="4" s="1"/>
  <c r="T301" i="4"/>
  <c r="U308" i="4"/>
  <c r="T313" i="4"/>
  <c r="S332" i="4"/>
  <c r="U332" i="4"/>
  <c r="S340" i="4"/>
  <c r="U344" i="4"/>
  <c r="S369" i="4"/>
  <c r="T369" i="4"/>
  <c r="U369" i="4"/>
  <c r="P369" i="4"/>
  <c r="R369" i="4" s="1"/>
  <c r="U375" i="4"/>
  <c r="S444" i="4"/>
  <c r="P463" i="4"/>
  <c r="R463" i="4" s="1"/>
  <c r="U463" i="4"/>
  <c r="S468" i="4"/>
  <c r="T468" i="4"/>
  <c r="K9" i="4"/>
  <c r="T67" i="4"/>
  <c r="U80" i="4"/>
  <c r="S80" i="4"/>
  <c r="Y101" i="4"/>
  <c r="L94" i="3" s="1"/>
  <c r="K12" i="4"/>
  <c r="Y65" i="4"/>
  <c r="C23" i="4" s="1"/>
  <c r="U67" i="4"/>
  <c r="T80" i="4"/>
  <c r="Q82" i="4"/>
  <c r="Y95" i="4"/>
  <c r="Q127" i="4"/>
  <c r="P127" i="4" s="1"/>
  <c r="Y127" i="4"/>
  <c r="U176" i="4"/>
  <c r="Q187" i="4"/>
  <c r="Y187" i="4"/>
  <c r="O96" i="3" s="1"/>
  <c r="Q193" i="4"/>
  <c r="U193" i="4" s="1"/>
  <c r="Y193" i="4"/>
  <c r="Y204" i="4"/>
  <c r="Q204" i="4"/>
  <c r="Q228" i="4"/>
  <c r="Y228" i="4"/>
  <c r="S267" i="4"/>
  <c r="U337" i="4"/>
  <c r="T337" i="4"/>
  <c r="T466" i="4"/>
  <c r="U466" i="4"/>
  <c r="I16" i="4"/>
  <c r="K11" i="4"/>
  <c r="Y77" i="4"/>
  <c r="Q116" i="4"/>
  <c r="U116" i="4" s="1"/>
  <c r="P145" i="4"/>
  <c r="Q149" i="4"/>
  <c r="Q156" i="4"/>
  <c r="P161" i="4"/>
  <c r="Q165" i="4"/>
  <c r="P165" i="4" s="1"/>
  <c r="Q181" i="4"/>
  <c r="Y198" i="4"/>
  <c r="Y201" i="4"/>
  <c r="U297" i="4"/>
  <c r="P297" i="4"/>
  <c r="R297" i="4" s="1"/>
  <c r="T342" i="4"/>
  <c r="S378" i="4"/>
  <c r="T402" i="4"/>
  <c r="U402" i="4"/>
  <c r="V40" i="3"/>
  <c r="U52" i="3"/>
  <c r="V56" i="3"/>
  <c r="D14" i="4"/>
  <c r="E14" i="4" s="1"/>
  <c r="T145" i="4"/>
  <c r="U265" i="4"/>
  <c r="T265" i="4"/>
  <c r="U322" i="4"/>
  <c r="W16" i="3"/>
  <c r="W31" i="3"/>
  <c r="B75" i="3"/>
  <c r="T418" i="4"/>
  <c r="U418" i="4"/>
  <c r="U433" i="4"/>
  <c r="S433" i="4"/>
  <c r="P315" i="4"/>
  <c r="R315" i="4" s="1"/>
  <c r="T315" i="4"/>
  <c r="S364" i="4"/>
  <c r="P364" i="4"/>
  <c r="R364" i="4" s="1"/>
  <c r="U364" i="4"/>
  <c r="P451" i="4"/>
  <c r="R451" i="4" s="1"/>
  <c r="S451" i="4"/>
  <c r="U366" i="4"/>
  <c r="P366" i="4"/>
  <c r="R366" i="4" s="1"/>
  <c r="U398" i="4"/>
  <c r="S398" i="4"/>
  <c r="P479" i="4"/>
  <c r="R479" i="4" s="1"/>
  <c r="U479" i="4"/>
  <c r="Y185" i="4"/>
  <c r="P32" i="3"/>
  <c r="Q225" i="4"/>
  <c r="P225" i="4" s="1"/>
  <c r="T306" i="4"/>
  <c r="S315" i="4"/>
  <c r="P322" i="4"/>
  <c r="R322" i="4" s="1"/>
  <c r="T330" i="4"/>
  <c r="S330" i="4"/>
  <c r="S336" i="4"/>
  <c r="P336" i="4"/>
  <c r="R336" i="4" s="1"/>
  <c r="S342" i="4"/>
  <c r="T364" i="4"/>
  <c r="T366" i="4"/>
  <c r="P378" i="4"/>
  <c r="R378" i="4" s="1"/>
  <c r="P398" i="4"/>
  <c r="R398" i="4" s="1"/>
  <c r="T412" i="4"/>
  <c r="P412" i="4"/>
  <c r="R412" i="4" s="1"/>
  <c r="S429" i="4"/>
  <c r="P431" i="4"/>
  <c r="R431" i="4" s="1"/>
  <c r="U442" i="4"/>
  <c r="S442" i="4"/>
  <c r="T451" i="4"/>
  <c r="I21" i="9"/>
  <c r="M28" i="11"/>
  <c r="D8" i="2" s="1"/>
  <c r="I38" i="11"/>
  <c r="H53" i="11"/>
  <c r="I62" i="11" s="1"/>
  <c r="H39" i="11" s="1"/>
  <c r="M69" i="23"/>
  <c r="I62" i="5"/>
  <c r="H39" i="5" s="1"/>
  <c r="I26" i="11"/>
  <c r="I33" i="17"/>
  <c r="C11" i="2" s="1"/>
  <c r="I26" i="17"/>
  <c r="I39" i="5"/>
  <c r="O97" i="3"/>
  <c r="F12" i="2"/>
  <c r="I16" i="5"/>
  <c r="I16" i="13"/>
  <c r="F53" i="15"/>
  <c r="H53" i="15" s="1"/>
  <c r="M53" i="9"/>
  <c r="M53" i="25"/>
  <c r="U49" i="3"/>
  <c r="I26" i="5"/>
  <c r="R25" i="13"/>
  <c r="I37" i="13" s="1"/>
  <c r="I11" i="13"/>
  <c r="I16" i="15"/>
  <c r="I21" i="23"/>
  <c r="I38" i="25"/>
  <c r="K15" i="2" s="1"/>
  <c r="I33" i="27"/>
  <c r="C16" i="2" s="1"/>
  <c r="I39" i="27"/>
  <c r="Q25" i="27"/>
  <c r="H37" i="27" s="1"/>
  <c r="I16" i="27"/>
  <c r="I15" i="23"/>
  <c r="I62" i="23"/>
  <c r="H39" i="23" s="1"/>
  <c r="I33" i="25"/>
  <c r="C15" i="2" s="1"/>
  <c r="M28" i="7"/>
  <c r="D6" i="2" s="1"/>
  <c r="I6" i="13"/>
  <c r="I62" i="13"/>
  <c r="H39" i="13" s="1"/>
  <c r="I16" i="17"/>
  <c r="I6" i="23"/>
  <c r="I6" i="27"/>
  <c r="U58" i="3"/>
  <c r="I21" i="11"/>
  <c r="I33" i="15"/>
  <c r="C10" i="2" s="1"/>
  <c r="M28" i="19"/>
  <c r="D12" i="2" s="1"/>
  <c r="I26" i="21"/>
  <c r="I21" i="25"/>
  <c r="U37" i="3"/>
  <c r="M53" i="19"/>
  <c r="U57" i="3"/>
  <c r="I33" i="7"/>
  <c r="C6" i="2" s="1"/>
  <c r="I11" i="9"/>
  <c r="I33" i="13"/>
  <c r="C9" i="2" s="1"/>
  <c r="I21" i="13"/>
  <c r="I26" i="13"/>
  <c r="I11" i="17"/>
  <c r="I21" i="17"/>
  <c r="I25" i="21"/>
  <c r="Q25" i="23"/>
  <c r="M28" i="27"/>
  <c r="D16" i="2" s="1"/>
  <c r="I21" i="27"/>
  <c r="I62" i="27"/>
  <c r="H39" i="27" s="1"/>
  <c r="I16" i="7"/>
  <c r="I62" i="7"/>
  <c r="H39" i="7" s="1"/>
  <c r="I39" i="7"/>
  <c r="I33" i="9"/>
  <c r="C7" i="2" s="1"/>
  <c r="I6" i="11"/>
  <c r="I39" i="13"/>
  <c r="I6" i="15"/>
  <c r="I33" i="19"/>
  <c r="H54" i="21"/>
  <c r="M28" i="23"/>
  <c r="D14" i="2" s="1"/>
  <c r="Q25" i="25"/>
  <c r="H37" i="25" s="1"/>
  <c r="I16" i="25"/>
  <c r="I11" i="27"/>
  <c r="K84" i="3"/>
  <c r="J84" i="3"/>
  <c r="D24" i="4"/>
  <c r="C24" i="4"/>
  <c r="J156" i="2"/>
  <c r="M156" i="2" s="1"/>
  <c r="P156" i="2" s="1"/>
  <c r="E85" i="2"/>
  <c r="P106" i="4"/>
  <c r="U106" i="4"/>
  <c r="S106" i="4"/>
  <c r="T106" i="4"/>
  <c r="E78" i="2"/>
  <c r="J107" i="2"/>
  <c r="M107" i="2" s="1"/>
  <c r="P107" i="2" s="1"/>
  <c r="J139" i="2"/>
  <c r="M139" i="2" s="1"/>
  <c r="P139" i="2" s="1"/>
  <c r="I82" i="2"/>
  <c r="J150" i="2"/>
  <c r="M150" i="2" s="1"/>
  <c r="P150" i="2" s="1"/>
  <c r="F84" i="2"/>
  <c r="K83" i="3"/>
  <c r="J83" i="3"/>
  <c r="D23" i="4"/>
  <c r="P69" i="4"/>
  <c r="U77" i="4"/>
  <c r="T77" i="4"/>
  <c r="P82" i="4"/>
  <c r="U82" i="4"/>
  <c r="T96" i="4"/>
  <c r="S96" i="4"/>
  <c r="Y100" i="4"/>
  <c r="Q100" i="4"/>
  <c r="Q126" i="4"/>
  <c r="Y126" i="4"/>
  <c r="S153" i="4"/>
  <c r="P153" i="4"/>
  <c r="U153" i="4"/>
  <c r="T153" i="4"/>
  <c r="J140" i="2"/>
  <c r="M140" i="2" s="1"/>
  <c r="P140" i="2" s="1"/>
  <c r="J82" i="2"/>
  <c r="P77" i="4"/>
  <c r="S82" i="4"/>
  <c r="Q86" i="4"/>
  <c r="U92" i="4"/>
  <c r="S92" i="4"/>
  <c r="U96" i="4"/>
  <c r="U105" i="4"/>
  <c r="S105" i="4"/>
  <c r="Y106" i="4"/>
  <c r="Q143" i="4"/>
  <c r="Y143" i="4"/>
  <c r="P147" i="4"/>
  <c r="U147" i="4"/>
  <c r="T147" i="4"/>
  <c r="S147" i="4"/>
  <c r="H16" i="4"/>
  <c r="F9" i="4"/>
  <c r="J11" i="4"/>
  <c r="J121" i="2"/>
  <c r="M121" i="2" s="1"/>
  <c r="P121" i="2" s="1"/>
  <c r="E80" i="2"/>
  <c r="J141" i="2"/>
  <c r="M141" i="2" s="1"/>
  <c r="P141" i="2" s="1"/>
  <c r="K82" i="2"/>
  <c r="P67" i="4"/>
  <c r="S69" i="4"/>
  <c r="Y76" i="4"/>
  <c r="Q76" i="4"/>
  <c r="T82" i="4"/>
  <c r="P91" i="4"/>
  <c r="T91" i="4"/>
  <c r="S91" i="4"/>
  <c r="T92" i="4"/>
  <c r="S95" i="4"/>
  <c r="T95" i="4"/>
  <c r="T102" i="4"/>
  <c r="U102" i="4"/>
  <c r="P105" i="4"/>
  <c r="Y108" i="4"/>
  <c r="Q108" i="4"/>
  <c r="Y110" i="4"/>
  <c r="Q110" i="4"/>
  <c r="Y112" i="4"/>
  <c r="Q112" i="4"/>
  <c r="Y119" i="4"/>
  <c r="Q119" i="4"/>
  <c r="U141" i="4"/>
  <c r="S141" i="4"/>
  <c r="T141" i="4"/>
  <c r="P141" i="4"/>
  <c r="F80" i="2"/>
  <c r="J122" i="2"/>
  <c r="M122" i="2" s="1"/>
  <c r="P122" i="2" s="1"/>
  <c r="P66" i="4"/>
  <c r="T66" i="4"/>
  <c r="Q68" i="4"/>
  <c r="T69" i="4"/>
  <c r="Q72" i="4"/>
  <c r="S77" i="4"/>
  <c r="P80" i="4"/>
  <c r="R80" i="4" s="1"/>
  <c r="Q88" i="4"/>
  <c r="U95" i="4"/>
  <c r="P102" i="4"/>
  <c r="T105" i="4"/>
  <c r="U117" i="4"/>
  <c r="T117" i="4"/>
  <c r="P117" i="4"/>
  <c r="U127" i="4"/>
  <c r="F8" i="4"/>
  <c r="J10" i="4"/>
  <c r="J16" i="4" s="1"/>
  <c r="F12" i="4"/>
  <c r="G12" i="4" s="1"/>
  <c r="E9" i="4"/>
  <c r="J135" i="2"/>
  <c r="M135" i="2" s="1"/>
  <c r="P135" i="2" s="1"/>
  <c r="E82" i="2"/>
  <c r="P65" i="4"/>
  <c r="P71" i="4"/>
  <c r="P75" i="4"/>
  <c r="S79" i="4"/>
  <c r="U79" i="4"/>
  <c r="U85" i="4"/>
  <c r="P85" i="4"/>
  <c r="T85" i="4"/>
  <c r="S85" i="4"/>
  <c r="P90" i="4"/>
  <c r="U90" i="4"/>
  <c r="T90" i="4"/>
  <c r="U91" i="4"/>
  <c r="T94" i="4"/>
  <c r="S94" i="4"/>
  <c r="U99" i="4"/>
  <c r="S99" i="4"/>
  <c r="U104" i="4"/>
  <c r="S104" i="4"/>
  <c r="Y105" i="4"/>
  <c r="Q121" i="4"/>
  <c r="Y121" i="4"/>
  <c r="Y133" i="4"/>
  <c r="Q133" i="4"/>
  <c r="U94" i="4"/>
  <c r="P98" i="4"/>
  <c r="T98" i="4"/>
  <c r="S98" i="4"/>
  <c r="T99" i="4"/>
  <c r="U101" i="4"/>
  <c r="T101" i="4"/>
  <c r="Y102" i="4"/>
  <c r="E23" i="4" s="1"/>
  <c r="P104" i="4"/>
  <c r="Q150" i="4"/>
  <c r="Y150" i="4"/>
  <c r="G82" i="2"/>
  <c r="J137" i="2"/>
  <c r="M137" i="2" s="1"/>
  <c r="P137" i="2" s="1"/>
  <c r="S65" i="4"/>
  <c r="T71" i="4"/>
  <c r="Q74" i="4"/>
  <c r="S75" i="4"/>
  <c r="T78" i="4"/>
  <c r="U78" i="4"/>
  <c r="S87" i="4"/>
  <c r="P87" i="4"/>
  <c r="U87" i="4"/>
  <c r="T87" i="4"/>
  <c r="U93" i="4"/>
  <c r="S93" i="4"/>
  <c r="Y109" i="4"/>
  <c r="Q109" i="4"/>
  <c r="Y111" i="4"/>
  <c r="Q111" i="4"/>
  <c r="T113" i="4"/>
  <c r="P113" i="4"/>
  <c r="T116" i="4"/>
  <c r="U118" i="4"/>
  <c r="T118" i="4"/>
  <c r="S118" i="4"/>
  <c r="P118" i="4"/>
  <c r="Y125" i="4"/>
  <c r="Q125" i="4"/>
  <c r="E77" i="2"/>
  <c r="J100" i="2"/>
  <c r="M100" i="2" s="1"/>
  <c r="P100" i="2" s="1"/>
  <c r="H82" i="2"/>
  <c r="J138" i="2"/>
  <c r="M138" i="2" s="1"/>
  <c r="P138" i="2" s="1"/>
  <c r="J149" i="2"/>
  <c r="M149" i="2" s="1"/>
  <c r="P149" i="2" s="1"/>
  <c r="E84" i="2"/>
  <c r="S64" i="4"/>
  <c r="U65" i="4"/>
  <c r="Q70" i="4"/>
  <c r="U71" i="4"/>
  <c r="Q73" i="4"/>
  <c r="Y73" i="4"/>
  <c r="T75" i="4"/>
  <c r="P78" i="4"/>
  <c r="T79" i="4"/>
  <c r="Q84" i="4"/>
  <c r="P89" i="4"/>
  <c r="U89" i="4"/>
  <c r="T89" i="4"/>
  <c r="Y90" i="4"/>
  <c r="D30" i="4" s="1"/>
  <c r="T93" i="4"/>
  <c r="P96" i="4"/>
  <c r="U98" i="4"/>
  <c r="S101" i="4"/>
  <c r="S103" i="4"/>
  <c r="U103" i="4"/>
  <c r="Y104" i="4"/>
  <c r="L95" i="3" s="1"/>
  <c r="S113" i="4"/>
  <c r="S116" i="4"/>
  <c r="P122" i="4"/>
  <c r="R122" i="4" s="1"/>
  <c r="U122" i="4"/>
  <c r="T122" i="4"/>
  <c r="T136" i="4"/>
  <c r="P139" i="4"/>
  <c r="U139" i="4"/>
  <c r="T139" i="4"/>
  <c r="U142" i="4"/>
  <c r="T142" i="4"/>
  <c r="S152" i="4"/>
  <c r="P152" i="4"/>
  <c r="Q175" i="4"/>
  <c r="Y175" i="4"/>
  <c r="P193" i="4"/>
  <c r="T193" i="4"/>
  <c r="S193" i="4"/>
  <c r="Q199" i="4"/>
  <c r="Y199" i="4"/>
  <c r="N66" i="27"/>
  <c r="N68" i="25"/>
  <c r="N64" i="23"/>
  <c r="N52" i="23"/>
  <c r="O52" i="23" s="1"/>
  <c r="N51" i="23"/>
  <c r="O51" i="23" s="1"/>
  <c r="N52" i="25"/>
  <c r="O52" i="25" s="1"/>
  <c r="N50" i="25"/>
  <c r="O50" i="25" s="1"/>
  <c r="N67" i="23"/>
  <c r="N48" i="23"/>
  <c r="N67" i="21"/>
  <c r="N52" i="21"/>
  <c r="O52" i="21" s="1"/>
  <c r="N64" i="27"/>
  <c r="N49" i="27"/>
  <c r="O49" i="27" s="1"/>
  <c r="N66" i="25"/>
  <c r="N50" i="21"/>
  <c r="O50" i="21" s="1"/>
  <c r="N67" i="27"/>
  <c r="N65" i="23"/>
  <c r="N50" i="23"/>
  <c r="O50" i="23" s="1"/>
  <c r="N65" i="21"/>
  <c r="N51" i="27"/>
  <c r="O51" i="27" s="1"/>
  <c r="N64" i="25"/>
  <c r="N49" i="25"/>
  <c r="O49" i="25" s="1"/>
  <c r="N68" i="23"/>
  <c r="N68" i="21"/>
  <c r="N65" i="27"/>
  <c r="N48" i="27"/>
  <c r="N67" i="25"/>
  <c r="N68" i="27"/>
  <c r="N51" i="25"/>
  <c r="O51" i="25" s="1"/>
  <c r="N66" i="23"/>
  <c r="N52" i="27"/>
  <c r="O52" i="27" s="1"/>
  <c r="N50" i="27"/>
  <c r="O50" i="27" s="1"/>
  <c r="N65" i="25"/>
  <c r="N48" i="25"/>
  <c r="N51" i="21"/>
  <c r="O51" i="21" s="1"/>
  <c r="N65" i="19"/>
  <c r="N68" i="17"/>
  <c r="N49" i="17"/>
  <c r="O49" i="17" s="1"/>
  <c r="N66" i="15"/>
  <c r="N51" i="19"/>
  <c r="O51" i="19" s="1"/>
  <c r="N52" i="15"/>
  <c r="O52" i="15" s="1"/>
  <c r="N50" i="15"/>
  <c r="O50" i="15" s="1"/>
  <c r="N65" i="13"/>
  <c r="N48" i="13"/>
  <c r="N67" i="11"/>
  <c r="N49" i="23"/>
  <c r="O49" i="23" s="1"/>
  <c r="N49" i="21"/>
  <c r="O49" i="21" s="1"/>
  <c r="N68" i="19"/>
  <c r="N66" i="19"/>
  <c r="N48" i="17"/>
  <c r="N67" i="15"/>
  <c r="N52" i="13"/>
  <c r="O52" i="13" s="1"/>
  <c r="N50" i="13"/>
  <c r="O50" i="13" s="1"/>
  <c r="N65" i="11"/>
  <c r="N48" i="21"/>
  <c r="N64" i="21"/>
  <c r="N67" i="19"/>
  <c r="N49" i="19"/>
  <c r="O49" i="19" s="1"/>
  <c r="N65" i="17"/>
  <c r="N50" i="19"/>
  <c r="O50" i="19" s="1"/>
  <c r="N68" i="11"/>
  <c r="N66" i="11"/>
  <c r="N48" i="9"/>
  <c r="N48" i="7"/>
  <c r="N67" i="17"/>
  <c r="N64" i="17"/>
  <c r="N64" i="15"/>
  <c r="N66" i="13"/>
  <c r="N64" i="13"/>
  <c r="N49" i="11"/>
  <c r="O49" i="11" s="1"/>
  <c r="N52" i="9"/>
  <c r="O52" i="9" s="1"/>
  <c r="N50" i="9"/>
  <c r="O50" i="9" s="1"/>
  <c r="N52" i="7"/>
  <c r="O52" i="7" s="1"/>
  <c r="N52" i="19"/>
  <c r="O52" i="19" s="1"/>
  <c r="N48" i="19"/>
  <c r="N51" i="17"/>
  <c r="O51" i="17" s="1"/>
  <c r="N68" i="15"/>
  <c r="N68" i="13"/>
  <c r="N49" i="15"/>
  <c r="O49" i="15" s="1"/>
  <c r="N51" i="11"/>
  <c r="O51" i="11" s="1"/>
  <c r="N67" i="9"/>
  <c r="N66" i="17"/>
  <c r="N50" i="17"/>
  <c r="O50" i="17" s="1"/>
  <c r="N48" i="11"/>
  <c r="N65" i="15"/>
  <c r="N64" i="19"/>
  <c r="N52" i="17"/>
  <c r="O52" i="17" s="1"/>
  <c r="N48" i="15"/>
  <c r="N51" i="13"/>
  <c r="O51" i="13" s="1"/>
  <c r="N52" i="11"/>
  <c r="O52" i="11" s="1"/>
  <c r="N49" i="9"/>
  <c r="O49" i="9" s="1"/>
  <c r="N50" i="5"/>
  <c r="O50" i="5" s="1"/>
  <c r="N49" i="13"/>
  <c r="O49" i="13" s="1"/>
  <c r="N64" i="9"/>
  <c r="N50" i="7"/>
  <c r="O50" i="7" s="1"/>
  <c r="N52" i="5"/>
  <c r="O52" i="5" s="1"/>
  <c r="N66" i="9"/>
  <c r="N68" i="9"/>
  <c r="N49" i="5"/>
  <c r="O49" i="5" s="1"/>
  <c r="N64" i="11"/>
  <c r="N51" i="9"/>
  <c r="O51" i="9" s="1"/>
  <c r="N49" i="7"/>
  <c r="N67" i="13"/>
  <c r="N50" i="11"/>
  <c r="N51" i="5"/>
  <c r="O51" i="5" s="1"/>
  <c r="N65" i="9"/>
  <c r="N48" i="5"/>
  <c r="N51" i="15"/>
  <c r="O51" i="15" s="1"/>
  <c r="N51" i="7"/>
  <c r="O51" i="7" s="1"/>
  <c r="K86" i="3"/>
  <c r="J86" i="3"/>
  <c r="O86" i="3"/>
  <c r="N86" i="3"/>
  <c r="M86" i="3"/>
  <c r="L86" i="3"/>
  <c r="Q114" i="4"/>
  <c r="T135" i="4"/>
  <c r="S135" i="4"/>
  <c r="P135" i="4"/>
  <c r="U140" i="4"/>
  <c r="T156" i="4"/>
  <c r="S156" i="4"/>
  <c r="P162" i="4"/>
  <c r="U162" i="4"/>
  <c r="T167" i="4"/>
  <c r="S167" i="4"/>
  <c r="P167" i="4"/>
  <c r="P170" i="4"/>
  <c r="U170" i="4"/>
  <c r="P177" i="4"/>
  <c r="T177" i="4"/>
  <c r="P202" i="4"/>
  <c r="U202" i="4"/>
  <c r="S202" i="4"/>
  <c r="U206" i="4"/>
  <c r="T206" i="4"/>
  <c r="S206" i="4"/>
  <c r="P123" i="4"/>
  <c r="T123" i="4"/>
  <c r="P128" i="4"/>
  <c r="S129" i="4"/>
  <c r="Q138" i="4"/>
  <c r="Y138" i="4"/>
  <c r="U149" i="4"/>
  <c r="S149" i="4"/>
  <c r="T151" i="4"/>
  <c r="S151" i="4"/>
  <c r="P151" i="4"/>
  <c r="P155" i="4"/>
  <c r="U155" i="4"/>
  <c r="T155" i="4"/>
  <c r="U158" i="4"/>
  <c r="T158" i="4"/>
  <c r="Y159" i="4"/>
  <c r="U167" i="4"/>
  <c r="Q173" i="4"/>
  <c r="U197" i="4"/>
  <c r="T197" i="4"/>
  <c r="S197" i="4"/>
  <c r="P197" i="4"/>
  <c r="S200" i="4"/>
  <c r="P200" i="4"/>
  <c r="U200" i="4"/>
  <c r="T200" i="4"/>
  <c r="T202" i="4"/>
  <c r="P206" i="4"/>
  <c r="T132" i="4"/>
  <c r="S132" i="4"/>
  <c r="S144" i="4"/>
  <c r="P144" i="4"/>
  <c r="U165" i="4"/>
  <c r="T165" i="4"/>
  <c r="S165" i="4"/>
  <c r="S170" i="4"/>
  <c r="Q183" i="4"/>
  <c r="Y183" i="4"/>
  <c r="P185" i="4"/>
  <c r="R185" i="4" s="1"/>
  <c r="T185" i="4"/>
  <c r="S185" i="4"/>
  <c r="Q191" i="4"/>
  <c r="Y191" i="4"/>
  <c r="S115" i="4"/>
  <c r="S123" i="4"/>
  <c r="T124" i="4"/>
  <c r="T128" i="4"/>
  <c r="P131" i="4"/>
  <c r="U131" i="4"/>
  <c r="T131" i="4"/>
  <c r="U134" i="4"/>
  <c r="T134" i="4"/>
  <c r="Y135" i="4"/>
  <c r="T144" i="4"/>
  <c r="T148" i="4"/>
  <c r="S148" i="4"/>
  <c r="U151" i="4"/>
  <c r="Q154" i="4"/>
  <c r="Y154" i="4"/>
  <c r="S155" i="4"/>
  <c r="S158" i="4"/>
  <c r="T162" i="4"/>
  <c r="U174" i="4"/>
  <c r="T174" i="4"/>
  <c r="S174" i="4"/>
  <c r="P194" i="4"/>
  <c r="U194" i="4"/>
  <c r="S194" i="4"/>
  <c r="U198" i="4"/>
  <c r="T198" i="4"/>
  <c r="S198" i="4"/>
  <c r="Q207" i="4"/>
  <c r="Y207" i="4"/>
  <c r="S160" i="4"/>
  <c r="P160" i="4"/>
  <c r="U166" i="4"/>
  <c r="T166" i="4"/>
  <c r="S166" i="4"/>
  <c r="U181" i="4"/>
  <c r="T181" i="4"/>
  <c r="S181" i="4"/>
  <c r="P181" i="4"/>
  <c r="U189" i="4"/>
  <c r="T189" i="4"/>
  <c r="S189" i="4"/>
  <c r="P189" i="4"/>
  <c r="S192" i="4"/>
  <c r="P192" i="4"/>
  <c r="U192" i="4"/>
  <c r="T192" i="4"/>
  <c r="T194" i="4"/>
  <c r="P198" i="4"/>
  <c r="P201" i="4"/>
  <c r="T201" i="4"/>
  <c r="S201" i="4"/>
  <c r="U226" i="4"/>
  <c r="S226" i="4"/>
  <c r="P226" i="4"/>
  <c r="T226" i="4"/>
  <c r="F26" i="4"/>
  <c r="J136" i="2"/>
  <c r="M136" i="2" s="1"/>
  <c r="P136" i="2" s="1"/>
  <c r="F82" i="2"/>
  <c r="Y113" i="4"/>
  <c r="Q130" i="4"/>
  <c r="Y130" i="4"/>
  <c r="M96" i="3" s="1"/>
  <c r="S131" i="4"/>
  <c r="S134" i="4"/>
  <c r="U148" i="4"/>
  <c r="T160" i="4"/>
  <c r="U164" i="4"/>
  <c r="T164" i="4"/>
  <c r="S164" i="4"/>
  <c r="P166" i="4"/>
  <c r="U169" i="4"/>
  <c r="P178" i="4"/>
  <c r="U178" i="4"/>
  <c r="S178" i="4"/>
  <c r="U201" i="4"/>
  <c r="S136" i="4"/>
  <c r="P136" i="4"/>
  <c r="T140" i="4"/>
  <c r="S140" i="4"/>
  <c r="Q146" i="4"/>
  <c r="Y146" i="4"/>
  <c r="Q157" i="4"/>
  <c r="T159" i="4"/>
  <c r="S159" i="4"/>
  <c r="P159" i="4"/>
  <c r="U160" i="4"/>
  <c r="P163" i="4"/>
  <c r="U163" i="4"/>
  <c r="T163" i="4"/>
  <c r="Y166" i="4"/>
  <c r="P171" i="4"/>
  <c r="U171" i="4"/>
  <c r="T171" i="4"/>
  <c r="U182" i="4"/>
  <c r="T182" i="4"/>
  <c r="S182" i="4"/>
  <c r="P186" i="4"/>
  <c r="U186" i="4"/>
  <c r="S186" i="4"/>
  <c r="U190" i="4"/>
  <c r="T190" i="4"/>
  <c r="S190" i="4"/>
  <c r="U205" i="4"/>
  <c r="T205" i="4"/>
  <c r="S205" i="4"/>
  <c r="P205" i="4"/>
  <c r="U210" i="4"/>
  <c r="S210" i="4"/>
  <c r="P210" i="4"/>
  <c r="T210" i="4"/>
  <c r="Y206" i="4"/>
  <c r="P216" i="4"/>
  <c r="P217" i="4"/>
  <c r="S219" i="4"/>
  <c r="U221" i="4"/>
  <c r="S237" i="4"/>
  <c r="P237" i="4"/>
  <c r="S241" i="4"/>
  <c r="T241" i="4"/>
  <c r="Y244" i="4"/>
  <c r="Q244" i="4"/>
  <c r="S255" i="4"/>
  <c r="T255" i="4"/>
  <c r="U264" i="4"/>
  <c r="P264" i="4"/>
  <c r="R264" i="4" s="1"/>
  <c r="U292" i="4"/>
  <c r="P292" i="4"/>
  <c r="R292" i="4" s="1"/>
  <c r="U324" i="4"/>
  <c r="S324" i="4"/>
  <c r="T327" i="4"/>
  <c r="S327" i="4"/>
  <c r="U327" i="4"/>
  <c r="P327" i="4"/>
  <c r="R327" i="4" s="1"/>
  <c r="P341" i="4"/>
  <c r="R341" i="4" s="1"/>
  <c r="S341" i="4"/>
  <c r="T415" i="4"/>
  <c r="S415" i="4"/>
  <c r="P415" i="4"/>
  <c r="R415" i="4" s="1"/>
  <c r="U415" i="4"/>
  <c r="T423" i="4"/>
  <c r="S423" i="4"/>
  <c r="P423" i="4"/>
  <c r="R423" i="4" s="1"/>
  <c r="W32" i="3"/>
  <c r="W19" i="3" s="1"/>
  <c r="I186" i="2" s="1"/>
  <c r="M186" i="2" s="1"/>
  <c r="Y214" i="4"/>
  <c r="Q214" i="4"/>
  <c r="Q215" i="4"/>
  <c r="U219" i="4"/>
  <c r="S225" i="4"/>
  <c r="T225" i="4"/>
  <c r="Y226" i="4"/>
  <c r="P96" i="3" s="1"/>
  <c r="P228" i="4"/>
  <c r="S228" i="4"/>
  <c r="S229" i="4"/>
  <c r="T237" i="4"/>
  <c r="T240" i="4"/>
  <c r="P240" i="4"/>
  <c r="U240" i="4"/>
  <c r="P258" i="4"/>
  <c r="R258" i="4" s="1"/>
  <c r="T258" i="4"/>
  <c r="S258" i="4"/>
  <c r="U261" i="4"/>
  <c r="T261" i="4"/>
  <c r="P261" i="4"/>
  <c r="R261" i="4" s="1"/>
  <c r="U269" i="4"/>
  <c r="S269" i="4"/>
  <c r="T288" i="4"/>
  <c r="S288" i="4"/>
  <c r="S303" i="4"/>
  <c r="T303" i="4"/>
  <c r="T319" i="4"/>
  <c r="S319" i="4"/>
  <c r="P323" i="4"/>
  <c r="R323" i="4" s="1"/>
  <c r="S323" i="4"/>
  <c r="T323" i="4"/>
  <c r="T329" i="4"/>
  <c r="S329" i="4"/>
  <c r="P329" i="4"/>
  <c r="R329" i="4" s="1"/>
  <c r="T361" i="4"/>
  <c r="U361" i="4"/>
  <c r="S361" i="4"/>
  <c r="U370" i="4"/>
  <c r="T370" i="4"/>
  <c r="S370" i="4"/>
  <c r="P370" i="4"/>
  <c r="R370" i="4" s="1"/>
  <c r="P373" i="4"/>
  <c r="R373" i="4" s="1"/>
  <c r="U373" i="4"/>
  <c r="T373" i="4"/>
  <c r="S373" i="4"/>
  <c r="T421" i="4"/>
  <c r="U421" i="4"/>
  <c r="S421" i="4"/>
  <c r="P421" i="4"/>
  <c r="R421" i="4" s="1"/>
  <c r="T465" i="4"/>
  <c r="P465" i="4"/>
  <c r="R465" i="4" s="1"/>
  <c r="S465" i="4"/>
  <c r="S491" i="4"/>
  <c r="T491" i="4"/>
  <c r="U491" i="4"/>
  <c r="P491" i="4"/>
  <c r="R491" i="4" s="1"/>
  <c r="T224" i="4"/>
  <c r="U224" i="4"/>
  <c r="U234" i="4"/>
  <c r="S234" i="4"/>
  <c r="P236" i="4"/>
  <c r="T236" i="4"/>
  <c r="S236" i="4"/>
  <c r="T252" i="4"/>
  <c r="S252" i="4"/>
  <c r="P252" i="4"/>
  <c r="R252" i="4" s="1"/>
  <c r="U258" i="4"/>
  <c r="S268" i="4"/>
  <c r="P268" i="4"/>
  <c r="R268" i="4" s="1"/>
  <c r="T268" i="4"/>
  <c r="T269" i="4"/>
  <c r="U276" i="4"/>
  <c r="T276" i="4"/>
  <c r="U285" i="4"/>
  <c r="S285" i="4"/>
  <c r="P288" i="4"/>
  <c r="R288" i="4" s="1"/>
  <c r="T294" i="4"/>
  <c r="U294" i="4"/>
  <c r="P294" i="4"/>
  <c r="R294" i="4" s="1"/>
  <c r="U303" i="4"/>
  <c r="U319" i="4"/>
  <c r="U329" i="4"/>
  <c r="U334" i="4"/>
  <c r="P334" i="4"/>
  <c r="R334" i="4" s="1"/>
  <c r="T334" i="4"/>
  <c r="T349" i="4"/>
  <c r="P349" i="4"/>
  <c r="R349" i="4" s="1"/>
  <c r="U349" i="4"/>
  <c r="T359" i="4"/>
  <c r="S359" i="4"/>
  <c r="P359" i="4"/>
  <c r="R359" i="4" s="1"/>
  <c r="P361" i="4"/>
  <c r="R361" i="4" s="1"/>
  <c r="S392" i="4"/>
  <c r="T392" i="4"/>
  <c r="P392" i="4"/>
  <c r="R392" i="4" s="1"/>
  <c r="U392" i="4"/>
  <c r="P403" i="4"/>
  <c r="R403" i="4" s="1"/>
  <c r="U403" i="4"/>
  <c r="S403" i="4"/>
  <c r="U414" i="4"/>
  <c r="S414" i="4"/>
  <c r="P435" i="4"/>
  <c r="R435" i="4" s="1"/>
  <c r="U435" i="4"/>
  <c r="T435" i="4"/>
  <c r="S435" i="4"/>
  <c r="P452" i="4"/>
  <c r="R452" i="4" s="1"/>
  <c r="U452" i="4"/>
  <c r="S452" i="4"/>
  <c r="T452" i="4"/>
  <c r="S456" i="4"/>
  <c r="T456" i="4"/>
  <c r="U456" i="4"/>
  <c r="P456" i="4"/>
  <c r="R456" i="4" s="1"/>
  <c r="U465" i="4"/>
  <c r="U481" i="4"/>
  <c r="T481" i="4"/>
  <c r="S481" i="4"/>
  <c r="P481" i="4"/>
  <c r="R481" i="4" s="1"/>
  <c r="U495" i="4"/>
  <c r="S495" i="4"/>
  <c r="P495" i="4"/>
  <c r="R495" i="4" s="1"/>
  <c r="T495" i="4"/>
  <c r="T500" i="4"/>
  <c r="U500" i="4"/>
  <c r="P500" i="4"/>
  <c r="R500" i="4" s="1"/>
  <c r="S500" i="4"/>
  <c r="Y129" i="4"/>
  <c r="F72" i="3" s="1"/>
  <c r="Y137" i="4"/>
  <c r="S172" i="4"/>
  <c r="T179" i="4"/>
  <c r="S180" i="4"/>
  <c r="T187" i="4"/>
  <c r="S188" i="4"/>
  <c r="T195" i="4"/>
  <c r="S196" i="4"/>
  <c r="T203" i="4"/>
  <c r="S204" i="4"/>
  <c r="Q212" i="4"/>
  <c r="S216" i="4"/>
  <c r="T217" i="4"/>
  <c r="Y222" i="4"/>
  <c r="N66" i="21" s="1"/>
  <c r="Q222" i="4"/>
  <c r="Q223" i="4"/>
  <c r="U225" i="4"/>
  <c r="T228" i="4"/>
  <c r="U229" i="4"/>
  <c r="T234" i="4"/>
  <c r="Q239" i="4"/>
  <c r="Y239" i="4"/>
  <c r="E7" i="4" s="1"/>
  <c r="E16" i="4" s="1"/>
  <c r="S240" i="4"/>
  <c r="U245" i="4"/>
  <c r="P245" i="4"/>
  <c r="R245" i="4" s="1"/>
  <c r="T245" i="4"/>
  <c r="S245" i="4"/>
  <c r="S247" i="4"/>
  <c r="P247" i="4"/>
  <c r="R247" i="4" s="1"/>
  <c r="U247" i="4"/>
  <c r="T247" i="4"/>
  <c r="P249" i="4"/>
  <c r="R249" i="4" s="1"/>
  <c r="U249" i="4"/>
  <c r="T249" i="4"/>
  <c r="T254" i="4"/>
  <c r="S254" i="4"/>
  <c r="S263" i="4"/>
  <c r="U263" i="4"/>
  <c r="P263" i="4"/>
  <c r="R263" i="4" s="1"/>
  <c r="S272" i="4"/>
  <c r="T272" i="4"/>
  <c r="T278" i="4"/>
  <c r="P278" i="4"/>
  <c r="R278" i="4" s="1"/>
  <c r="U278" i="4"/>
  <c r="S278" i="4"/>
  <c r="P280" i="4"/>
  <c r="R280" i="4" s="1"/>
  <c r="U280" i="4"/>
  <c r="T280" i="4"/>
  <c r="P282" i="4"/>
  <c r="R282" i="4" s="1"/>
  <c r="U282" i="4"/>
  <c r="T282" i="4"/>
  <c r="U288" i="4"/>
  <c r="T302" i="4"/>
  <c r="S302" i="4"/>
  <c r="U318" i="4"/>
  <c r="S318" i="4"/>
  <c r="U323" i="4"/>
  <c r="U382" i="4"/>
  <c r="T382" i="4"/>
  <c r="P382" i="4"/>
  <c r="R382" i="4" s="1"/>
  <c r="S384" i="4"/>
  <c r="U384" i="4"/>
  <c r="P384" i="4"/>
  <c r="R384" i="4" s="1"/>
  <c r="S386" i="4"/>
  <c r="U386" i="4"/>
  <c r="T386" i="4"/>
  <c r="P386" i="4"/>
  <c r="R386" i="4" s="1"/>
  <c r="U388" i="4"/>
  <c r="T388" i="4"/>
  <c r="S388" i="4"/>
  <c r="P388" i="4"/>
  <c r="R388" i="4" s="1"/>
  <c r="U390" i="4"/>
  <c r="S390" i="4"/>
  <c r="P390" i="4"/>
  <c r="R390" i="4" s="1"/>
  <c r="T390" i="4"/>
  <c r="S400" i="4"/>
  <c r="P400" i="4"/>
  <c r="R400" i="4" s="1"/>
  <c r="U400" i="4"/>
  <c r="S416" i="4"/>
  <c r="P416" i="4"/>
  <c r="R416" i="4" s="1"/>
  <c r="T416" i="4"/>
  <c r="P427" i="4"/>
  <c r="R427" i="4" s="1"/>
  <c r="T427" i="4"/>
  <c r="S427" i="4"/>
  <c r="S432" i="4"/>
  <c r="U432" i="4"/>
  <c r="P432" i="4"/>
  <c r="R432" i="4" s="1"/>
  <c r="U441" i="4"/>
  <c r="S441" i="4"/>
  <c r="T441" i="4"/>
  <c r="P441" i="4"/>
  <c r="R441" i="4" s="1"/>
  <c r="Y162" i="4"/>
  <c r="P168" i="4"/>
  <c r="Y170" i="4"/>
  <c r="T172" i="4"/>
  <c r="P176" i="4"/>
  <c r="Y178" i="4"/>
  <c r="U179" i="4"/>
  <c r="T180" i="4"/>
  <c r="P184" i="4"/>
  <c r="R184" i="4" s="1"/>
  <c r="Y186" i="4"/>
  <c r="O94" i="3" s="1"/>
  <c r="U187" i="4"/>
  <c r="T188" i="4"/>
  <c r="Y194" i="4"/>
  <c r="U195" i="4"/>
  <c r="T196" i="4"/>
  <c r="Y202" i="4"/>
  <c r="U203" i="4"/>
  <c r="T204" i="4"/>
  <c r="P208" i="4"/>
  <c r="P211" i="4"/>
  <c r="S213" i="4"/>
  <c r="U216" i="4"/>
  <c r="U217" i="4"/>
  <c r="P221" i="4"/>
  <c r="S224" i="4"/>
  <c r="P227" i="4"/>
  <c r="U228" i="4"/>
  <c r="S233" i="4"/>
  <c r="T233" i="4"/>
  <c r="U236" i="4"/>
  <c r="S249" i="4"/>
  <c r="P254" i="4"/>
  <c r="R254" i="4" s="1"/>
  <c r="U260" i="4"/>
  <c r="P260" i="4"/>
  <c r="R260" i="4" s="1"/>
  <c r="U268" i="4"/>
  <c r="U272" i="4"/>
  <c r="S276" i="4"/>
  <c r="S280" i="4"/>
  <c r="S282" i="4"/>
  <c r="S287" i="4"/>
  <c r="T287" i="4"/>
  <c r="U296" i="4"/>
  <c r="P296" i="4"/>
  <c r="R296" i="4" s="1"/>
  <c r="U302" i="4"/>
  <c r="S317" i="4"/>
  <c r="P317" i="4"/>
  <c r="R317" i="4" s="1"/>
  <c r="T317" i="4"/>
  <c r="T318" i="4"/>
  <c r="U326" i="4"/>
  <c r="S326" i="4"/>
  <c r="T326" i="4"/>
  <c r="S328" i="4"/>
  <c r="T328" i="4"/>
  <c r="P328" i="4"/>
  <c r="R328" i="4" s="1"/>
  <c r="P339" i="4"/>
  <c r="R339" i="4" s="1"/>
  <c r="T339" i="4"/>
  <c r="S339" i="4"/>
  <c r="S349" i="4"/>
  <c r="P363" i="4"/>
  <c r="R363" i="4" s="1"/>
  <c r="T363" i="4"/>
  <c r="U363" i="4"/>
  <c r="S382" i="4"/>
  <c r="T384" i="4"/>
  <c r="T400" i="4"/>
  <c r="T414" i="4"/>
  <c r="U416" i="4"/>
  <c r="U427" i="4"/>
  <c r="T432" i="4"/>
  <c r="U469" i="4"/>
  <c r="P469" i="4"/>
  <c r="R469" i="4" s="1"/>
  <c r="S469" i="4"/>
  <c r="P220" i="4"/>
  <c r="S220" i="4"/>
  <c r="T232" i="4"/>
  <c r="U232" i="4"/>
  <c r="U235" i="4"/>
  <c r="T235" i="4"/>
  <c r="Y236" i="4"/>
  <c r="F7" i="4" s="1"/>
  <c r="U254" i="4"/>
  <c r="T256" i="4"/>
  <c r="S256" i="4"/>
  <c r="S260" i="4"/>
  <c r="T263" i="4"/>
  <c r="S271" i="4"/>
  <c r="T271" i="4"/>
  <c r="P287" i="4"/>
  <c r="R287" i="4" s="1"/>
  <c r="P290" i="4"/>
  <c r="R290" i="4" s="1"/>
  <c r="T290" i="4"/>
  <c r="S290" i="4"/>
  <c r="U293" i="4"/>
  <c r="T293" i="4"/>
  <c r="P293" i="4"/>
  <c r="R293" i="4" s="1"/>
  <c r="S296" i="4"/>
  <c r="U301" i="4"/>
  <c r="S301" i="4"/>
  <c r="S321" i="4"/>
  <c r="T321" i="4"/>
  <c r="U339" i="4"/>
  <c r="S363" i="4"/>
  <c r="P371" i="4"/>
  <c r="R371" i="4" s="1"/>
  <c r="U371" i="4"/>
  <c r="T371" i="4"/>
  <c r="S371" i="4"/>
  <c r="P379" i="4"/>
  <c r="R379" i="4" s="1"/>
  <c r="U379" i="4"/>
  <c r="T379" i="4"/>
  <c r="S379" i="4"/>
  <c r="U409" i="4"/>
  <c r="T409" i="4"/>
  <c r="S409" i="4"/>
  <c r="P409" i="4"/>
  <c r="R409" i="4" s="1"/>
  <c r="S413" i="4"/>
  <c r="U413" i="4"/>
  <c r="U422" i="4"/>
  <c r="S422" i="4"/>
  <c r="P422" i="4"/>
  <c r="R422" i="4" s="1"/>
  <c r="T422" i="4"/>
  <c r="T492" i="4"/>
  <c r="S492" i="4"/>
  <c r="U492" i="4"/>
  <c r="P492" i="4"/>
  <c r="R492" i="4" s="1"/>
  <c r="Q209" i="4"/>
  <c r="S211" i="4"/>
  <c r="P219" i="4"/>
  <c r="R219" i="4" s="1"/>
  <c r="S221" i="4"/>
  <c r="U227" i="4"/>
  <c r="Q231" i="4"/>
  <c r="U233" i="4"/>
  <c r="P235" i="4"/>
  <c r="Q242" i="4"/>
  <c r="U253" i="4"/>
  <c r="S253" i="4"/>
  <c r="T260" i="4"/>
  <c r="T262" i="4"/>
  <c r="U262" i="4"/>
  <c r="P262" i="4"/>
  <c r="R262" i="4" s="1"/>
  <c r="U275" i="4"/>
  <c r="S275" i="4"/>
  <c r="T284" i="4"/>
  <c r="S284" i="4"/>
  <c r="P284" i="4"/>
  <c r="R284" i="4" s="1"/>
  <c r="U287" i="4"/>
  <c r="T296" i="4"/>
  <c r="S300" i="4"/>
  <c r="P300" i="4"/>
  <c r="R300" i="4" s="1"/>
  <c r="T300" i="4"/>
  <c r="U317" i="4"/>
  <c r="T325" i="4"/>
  <c r="S325" i="4"/>
  <c r="U328" i="4"/>
  <c r="P333" i="4"/>
  <c r="R333" i="4" s="1"/>
  <c r="U333" i="4"/>
  <c r="T333" i="4"/>
  <c r="T335" i="4"/>
  <c r="S335" i="4"/>
  <c r="S360" i="4"/>
  <c r="T360" i="4"/>
  <c r="U360" i="4"/>
  <c r="P360" i="4"/>
  <c r="R360" i="4" s="1"/>
  <c r="T389" i="4"/>
  <c r="P389" i="4"/>
  <c r="R389" i="4" s="1"/>
  <c r="U389" i="4"/>
  <c r="T391" i="4"/>
  <c r="S391" i="4"/>
  <c r="P391" i="4"/>
  <c r="R391" i="4" s="1"/>
  <c r="P413" i="4"/>
  <c r="R413" i="4" s="1"/>
  <c r="U462" i="4"/>
  <c r="S462" i="4"/>
  <c r="T462" i="4"/>
  <c r="P462" i="4"/>
  <c r="R462" i="4" s="1"/>
  <c r="S464" i="4"/>
  <c r="T464" i="4"/>
  <c r="P464" i="4"/>
  <c r="R464" i="4" s="1"/>
  <c r="U464" i="4"/>
  <c r="I44" i="2"/>
  <c r="M44" i="2" s="1"/>
  <c r="U211" i="4"/>
  <c r="P218" i="4"/>
  <c r="T220" i="4"/>
  <c r="Y227" i="4"/>
  <c r="P97" i="3" s="1"/>
  <c r="S232" i="4"/>
  <c r="S235" i="4"/>
  <c r="P241" i="4"/>
  <c r="T246" i="4"/>
  <c r="P246" i="4"/>
  <c r="R246" i="4" s="1"/>
  <c r="U246" i="4"/>
  <c r="S246" i="4"/>
  <c r="P248" i="4"/>
  <c r="R248" i="4" s="1"/>
  <c r="U248" i="4"/>
  <c r="T248" i="4"/>
  <c r="P250" i="4"/>
  <c r="R250" i="4" s="1"/>
  <c r="U250" i="4"/>
  <c r="T250" i="4"/>
  <c r="P253" i="4"/>
  <c r="R253" i="4" s="1"/>
  <c r="U256" i="4"/>
  <c r="T270" i="4"/>
  <c r="S270" i="4"/>
  <c r="P274" i="4"/>
  <c r="R274" i="4" s="1"/>
  <c r="S274" i="4"/>
  <c r="T274" i="4"/>
  <c r="T275" i="4"/>
  <c r="U277" i="4"/>
  <c r="P277" i="4"/>
  <c r="R277" i="4" s="1"/>
  <c r="T277" i="4"/>
  <c r="S277" i="4"/>
  <c r="S279" i="4"/>
  <c r="P279" i="4"/>
  <c r="R279" i="4" s="1"/>
  <c r="U279" i="4"/>
  <c r="T279" i="4"/>
  <c r="P281" i="4"/>
  <c r="R281" i="4" s="1"/>
  <c r="U281" i="4"/>
  <c r="T281" i="4"/>
  <c r="U284" i="4"/>
  <c r="T286" i="4"/>
  <c r="S286" i="4"/>
  <c r="S293" i="4"/>
  <c r="S295" i="4"/>
  <c r="U295" i="4"/>
  <c r="P295" i="4"/>
  <c r="R295" i="4" s="1"/>
  <c r="S304" i="4"/>
  <c r="T304" i="4"/>
  <c r="S320" i="4"/>
  <c r="T320" i="4"/>
  <c r="P324" i="4"/>
  <c r="R324" i="4" s="1"/>
  <c r="U325" i="4"/>
  <c r="S333" i="4"/>
  <c r="P335" i="4"/>
  <c r="R335" i="4" s="1"/>
  <c r="P355" i="4"/>
  <c r="R355" i="4" s="1"/>
  <c r="T355" i="4"/>
  <c r="U355" i="4"/>
  <c r="U365" i="4"/>
  <c r="S365" i="4"/>
  <c r="U381" i="4"/>
  <c r="S381" i="4"/>
  <c r="P381" i="4"/>
  <c r="R381" i="4" s="1"/>
  <c r="T383" i="4"/>
  <c r="U383" i="4"/>
  <c r="P383" i="4"/>
  <c r="R383" i="4" s="1"/>
  <c r="S385" i="4"/>
  <c r="T385" i="4"/>
  <c r="P385" i="4"/>
  <c r="R385" i="4" s="1"/>
  <c r="P387" i="4"/>
  <c r="R387" i="4" s="1"/>
  <c r="S387" i="4"/>
  <c r="U387" i="4"/>
  <c r="T387" i="4"/>
  <c r="S389" i="4"/>
  <c r="U391" i="4"/>
  <c r="P405" i="4"/>
  <c r="R405" i="4" s="1"/>
  <c r="U405" i="4"/>
  <c r="T405" i="4"/>
  <c r="T413" i="4"/>
  <c r="S417" i="4"/>
  <c r="P417" i="4"/>
  <c r="R417" i="4" s="1"/>
  <c r="U417" i="4"/>
  <c r="T417" i="4"/>
  <c r="U446" i="4"/>
  <c r="P446" i="4"/>
  <c r="R446" i="4" s="1"/>
  <c r="S446" i="4"/>
  <c r="T446" i="4"/>
  <c r="P459" i="4"/>
  <c r="R459" i="4" s="1"/>
  <c r="T459" i="4"/>
  <c r="S459" i="4"/>
  <c r="P331" i="4"/>
  <c r="R331" i="4" s="1"/>
  <c r="T331" i="4"/>
  <c r="T350" i="4"/>
  <c r="U351" i="4"/>
  <c r="U352" i="4"/>
  <c r="U353" i="4"/>
  <c r="U354" i="4"/>
  <c r="T356" i="4"/>
  <c r="U357" i="4"/>
  <c r="S366" i="4"/>
  <c r="T393" i="4"/>
  <c r="P393" i="4"/>
  <c r="R393" i="4" s="1"/>
  <c r="T401" i="4"/>
  <c r="T426" i="4"/>
  <c r="P426" i="4"/>
  <c r="R426" i="4" s="1"/>
  <c r="T431" i="4"/>
  <c r="U431" i="4"/>
  <c r="P437" i="4"/>
  <c r="R437" i="4" s="1"/>
  <c r="U437" i="4"/>
  <c r="S437" i="4"/>
  <c r="U458" i="4"/>
  <c r="T461" i="4"/>
  <c r="S461" i="4"/>
  <c r="P478" i="4"/>
  <c r="R478" i="4" s="1"/>
  <c r="T478" i="4"/>
  <c r="U484" i="4"/>
  <c r="S484" i="4"/>
  <c r="U489" i="4"/>
  <c r="S489" i="4"/>
  <c r="Q230" i="4"/>
  <c r="Q238" i="4"/>
  <c r="S251" i="4"/>
  <c r="S283" i="4"/>
  <c r="S331" i="4"/>
  <c r="T332" i="4"/>
  <c r="P342" i="4"/>
  <c r="R342" i="4" s="1"/>
  <c r="P343" i="4"/>
  <c r="R343" i="4" s="1"/>
  <c r="P344" i="4"/>
  <c r="R344" i="4" s="1"/>
  <c r="P345" i="4"/>
  <c r="R345" i="4" s="1"/>
  <c r="P348" i="4"/>
  <c r="R348" i="4" s="1"/>
  <c r="U393" i="4"/>
  <c r="S396" i="4"/>
  <c r="P396" i="4"/>
  <c r="R396" i="4" s="1"/>
  <c r="S408" i="4"/>
  <c r="U408" i="4"/>
  <c r="S426" i="4"/>
  <c r="U430" i="4"/>
  <c r="T430" i="4"/>
  <c r="T437" i="4"/>
  <c r="P445" i="4"/>
  <c r="R445" i="4" s="1"/>
  <c r="T445" i="4"/>
  <c r="U453" i="4"/>
  <c r="P467" i="4"/>
  <c r="R467" i="4" s="1"/>
  <c r="T467" i="4"/>
  <c r="U467" i="4"/>
  <c r="T471" i="4"/>
  <c r="S471" i="4"/>
  <c r="P471" i="4"/>
  <c r="R471" i="4" s="1"/>
  <c r="U477" i="4"/>
  <c r="S477" i="4"/>
  <c r="U478" i="4"/>
  <c r="S483" i="4"/>
  <c r="U483" i="4"/>
  <c r="T488" i="4"/>
  <c r="U488" i="4"/>
  <c r="P395" i="4"/>
  <c r="R395" i="4" s="1"/>
  <c r="T395" i="4"/>
  <c r="T407" i="4"/>
  <c r="U407" i="4"/>
  <c r="T425" i="4"/>
  <c r="P425" i="4"/>
  <c r="R425" i="4" s="1"/>
  <c r="S440" i="4"/>
  <c r="U440" i="4"/>
  <c r="P449" i="4"/>
  <c r="R449" i="4" s="1"/>
  <c r="T449" i="4"/>
  <c r="T455" i="4"/>
  <c r="S455" i="4"/>
  <c r="T474" i="4"/>
  <c r="P474" i="4"/>
  <c r="R474" i="4" s="1"/>
  <c r="P494" i="4"/>
  <c r="R494" i="4" s="1"/>
  <c r="T494" i="4"/>
  <c r="U36" i="3"/>
  <c r="U251" i="4"/>
  <c r="U283" i="4"/>
  <c r="P306" i="4"/>
  <c r="R306" i="4" s="1"/>
  <c r="S307" i="4"/>
  <c r="U330" i="4"/>
  <c r="P337" i="4"/>
  <c r="R337" i="4" s="1"/>
  <c r="S347" i="4"/>
  <c r="P350" i="4"/>
  <c r="R350" i="4" s="1"/>
  <c r="P351" i="4"/>
  <c r="R351" i="4" s="1"/>
  <c r="P352" i="4"/>
  <c r="R352" i="4" s="1"/>
  <c r="P353" i="4"/>
  <c r="R353" i="4" s="1"/>
  <c r="P354" i="4"/>
  <c r="R354" i="4" s="1"/>
  <c r="P356" i="4"/>
  <c r="R356" i="4" s="1"/>
  <c r="P357" i="4"/>
  <c r="R357" i="4" s="1"/>
  <c r="P368" i="4"/>
  <c r="R368" i="4" s="1"/>
  <c r="S374" i="4"/>
  <c r="S375" i="4"/>
  <c r="T376" i="4"/>
  <c r="T396" i="4"/>
  <c r="T398" i="4"/>
  <c r="U406" i="4"/>
  <c r="T406" i="4"/>
  <c r="T408" i="4"/>
  <c r="U420" i="4"/>
  <c r="P420" i="4"/>
  <c r="R420" i="4" s="1"/>
  <c r="S425" i="4"/>
  <c r="P429" i="4"/>
  <c r="R429" i="4" s="1"/>
  <c r="S434" i="4"/>
  <c r="T440" i="4"/>
  <c r="P443" i="4"/>
  <c r="R443" i="4" s="1"/>
  <c r="U443" i="4"/>
  <c r="S445" i="4"/>
  <c r="S449" i="4"/>
  <c r="P455" i="4"/>
  <c r="R455" i="4" s="1"/>
  <c r="S467" i="4"/>
  <c r="U471" i="4"/>
  <c r="S474" i="4"/>
  <c r="T477" i="4"/>
  <c r="T482" i="4"/>
  <c r="U482" i="4"/>
  <c r="U487" i="4"/>
  <c r="T487" i="4"/>
  <c r="S494" i="4"/>
  <c r="U497" i="4"/>
  <c r="S497" i="4"/>
  <c r="T497" i="4"/>
  <c r="U358" i="4"/>
  <c r="S358" i="4"/>
  <c r="T394" i="4"/>
  <c r="P394" i="4"/>
  <c r="R394" i="4" s="1"/>
  <c r="P419" i="4"/>
  <c r="R419" i="4" s="1"/>
  <c r="S419" i="4"/>
  <c r="S424" i="4"/>
  <c r="T424" i="4"/>
  <c r="P424" i="4"/>
  <c r="R424" i="4" s="1"/>
  <c r="S428" i="4"/>
  <c r="P428" i="4"/>
  <c r="R428" i="4" s="1"/>
  <c r="T439" i="4"/>
  <c r="U439" i="4"/>
  <c r="S448" i="4"/>
  <c r="P448" i="4"/>
  <c r="R448" i="4" s="1"/>
  <c r="T448" i="4"/>
  <c r="U454" i="4"/>
  <c r="S454" i="4"/>
  <c r="T463" i="4"/>
  <c r="S463" i="4"/>
  <c r="P486" i="4"/>
  <c r="R486" i="4" s="1"/>
  <c r="U486" i="4"/>
  <c r="S486" i="4"/>
  <c r="T490" i="4"/>
  <c r="S490" i="4"/>
  <c r="P490" i="4"/>
  <c r="R490" i="4" s="1"/>
  <c r="U490" i="4"/>
  <c r="T493" i="4"/>
  <c r="U493" i="4"/>
  <c r="P493" i="4"/>
  <c r="R493" i="4" s="1"/>
  <c r="T496" i="4"/>
  <c r="S496" i="4"/>
  <c r="U496" i="4"/>
  <c r="U266" i="4"/>
  <c r="U298" i="4"/>
  <c r="U309" i="4"/>
  <c r="T310" i="4"/>
  <c r="U311" i="4"/>
  <c r="U312" i="4"/>
  <c r="U315" i="4"/>
  <c r="P332" i="4"/>
  <c r="R332" i="4" s="1"/>
  <c r="T336" i="4"/>
  <c r="S350" i="4"/>
  <c r="S351" i="4"/>
  <c r="T352" i="4"/>
  <c r="S356" i="4"/>
  <c r="S357" i="4"/>
  <c r="T358" i="4"/>
  <c r="S367" i="4"/>
  <c r="U368" i="4"/>
  <c r="S394" i="4"/>
  <c r="P411" i="4"/>
  <c r="R411" i="4" s="1"/>
  <c r="U411" i="4"/>
  <c r="S418" i="4"/>
  <c r="P418" i="4"/>
  <c r="R418" i="4" s="1"/>
  <c r="T419" i="4"/>
  <c r="U424" i="4"/>
  <c r="T428" i="4"/>
  <c r="T429" i="4"/>
  <c r="T433" i="4"/>
  <c r="U438" i="4"/>
  <c r="T438" i="4"/>
  <c r="T447" i="4"/>
  <c r="P447" i="4"/>
  <c r="R447" i="4" s="1"/>
  <c r="S447" i="4"/>
  <c r="U448" i="4"/>
  <c r="P453" i="4"/>
  <c r="R453" i="4" s="1"/>
  <c r="S458" i="4"/>
  <c r="S472" i="4"/>
  <c r="U472" i="4"/>
  <c r="P480" i="4"/>
  <c r="R480" i="4" s="1"/>
  <c r="U480" i="4"/>
  <c r="S480" i="4"/>
  <c r="P484" i="4"/>
  <c r="R484" i="4" s="1"/>
  <c r="T486" i="4"/>
  <c r="P489" i="4"/>
  <c r="R489" i="4" s="1"/>
  <c r="S493" i="4"/>
  <c r="T498" i="4"/>
  <c r="S498" i="4"/>
  <c r="S499" i="4"/>
  <c r="T499" i="4"/>
  <c r="S460" i="4"/>
  <c r="S475" i="4"/>
  <c r="T475" i="4"/>
  <c r="S476" i="4"/>
  <c r="S466" i="4"/>
  <c r="U468" i="4"/>
  <c r="U475" i="4"/>
  <c r="W7" i="3"/>
  <c r="U46" i="3"/>
  <c r="V47" i="3"/>
  <c r="H72" i="3" s="1"/>
  <c r="M64" i="7"/>
  <c r="U45" i="3"/>
  <c r="M65" i="11"/>
  <c r="M69" i="11" s="1"/>
  <c r="V50" i="3"/>
  <c r="H73" i="3" s="1"/>
  <c r="U39" i="3"/>
  <c r="M49" i="7"/>
  <c r="M53" i="7" s="1"/>
  <c r="U48" i="3"/>
  <c r="W25" i="3"/>
  <c r="M50" i="11"/>
  <c r="M53" i="11" s="1"/>
  <c r="U51" i="3"/>
  <c r="H75" i="3"/>
  <c r="M53" i="13"/>
  <c r="M69" i="5"/>
  <c r="I62" i="9"/>
  <c r="H39" i="9" s="1"/>
  <c r="I39" i="9"/>
  <c r="M30" i="5"/>
  <c r="M29" i="5"/>
  <c r="Q31" i="5"/>
  <c r="W16" i="8"/>
  <c r="E6" i="2" s="1"/>
  <c r="D76" i="3"/>
  <c r="B76" i="3"/>
  <c r="U95" i="3"/>
  <c r="W16" i="6"/>
  <c r="E5" i="2" s="1"/>
  <c r="R25" i="7"/>
  <c r="I37" i="7" s="1"/>
  <c r="M53" i="5"/>
  <c r="M69" i="13"/>
  <c r="H38" i="7"/>
  <c r="J6" i="2" s="1"/>
  <c r="Q30" i="7"/>
  <c r="W16" i="10"/>
  <c r="E7" i="2" s="1"/>
  <c r="Q30" i="13"/>
  <c r="H38" i="13"/>
  <c r="J9" i="2" s="1"/>
  <c r="U98" i="3"/>
  <c r="R25" i="5"/>
  <c r="I37" i="5" s="1"/>
  <c r="H38" i="9"/>
  <c r="J7" i="2" s="1"/>
  <c r="Q30" i="9"/>
  <c r="W12" i="10"/>
  <c r="M30" i="11"/>
  <c r="M53" i="23"/>
  <c r="M69" i="27"/>
  <c r="U87" i="3"/>
  <c r="I21" i="7"/>
  <c r="M28" i="9"/>
  <c r="D7" i="2" s="1"/>
  <c r="I38" i="9"/>
  <c r="W12" i="12"/>
  <c r="F54" i="17"/>
  <c r="H54" i="17" s="1"/>
  <c r="O64" i="5"/>
  <c r="Q25" i="7"/>
  <c r="H37" i="7" s="1"/>
  <c r="R25" i="17"/>
  <c r="I37" i="17" s="1"/>
  <c r="M53" i="27"/>
  <c r="M69" i="15"/>
  <c r="I38" i="7"/>
  <c r="M69" i="17"/>
  <c r="I11" i="7"/>
  <c r="I16" i="9"/>
  <c r="M30" i="9" s="1"/>
  <c r="I38" i="15"/>
  <c r="M28" i="15"/>
  <c r="D10" i="2" s="1"/>
  <c r="M30" i="17"/>
  <c r="M53" i="15"/>
  <c r="M69" i="19"/>
  <c r="Q25" i="5"/>
  <c r="H37" i="5" s="1"/>
  <c r="Q25" i="13"/>
  <c r="H37" i="13" s="1"/>
  <c r="M53" i="17"/>
  <c r="M69" i="21"/>
  <c r="Q30" i="5"/>
  <c r="W12" i="8"/>
  <c r="R5" i="9"/>
  <c r="R25" i="9" s="1"/>
  <c r="I37" i="9" s="1"/>
  <c r="R25" i="15"/>
  <c r="I37" i="15" s="1"/>
  <c r="V53" i="3"/>
  <c r="B74" i="3" s="1"/>
  <c r="U54" i="3"/>
  <c r="M28" i="5"/>
  <c r="D5" i="2" s="1"/>
  <c r="I26" i="9"/>
  <c r="Q25" i="11"/>
  <c r="H37" i="11" s="1"/>
  <c r="R4" i="11"/>
  <c r="R25" i="11" s="1"/>
  <c r="I37" i="11" s="1"/>
  <c r="I39" i="11"/>
  <c r="M30" i="13"/>
  <c r="Q30" i="15"/>
  <c r="H38" i="15"/>
  <c r="J10" i="2" s="1"/>
  <c r="W12" i="16"/>
  <c r="Q30" i="17"/>
  <c r="H38" i="17"/>
  <c r="J11" i="2" s="1"/>
  <c r="W16" i="18"/>
  <c r="E11" i="2" s="1"/>
  <c r="M53" i="21"/>
  <c r="M69" i="25"/>
  <c r="W12" i="6"/>
  <c r="I152" i="6"/>
  <c r="I33" i="11"/>
  <c r="F55" i="19"/>
  <c r="H55" i="19" s="1"/>
  <c r="I62" i="19" s="1"/>
  <c r="H39" i="19" s="1"/>
  <c r="Q25" i="15"/>
  <c r="H37" i="15" s="1"/>
  <c r="W12" i="18"/>
  <c r="I38" i="13"/>
  <c r="I21" i="15"/>
  <c r="R25" i="19"/>
  <c r="I37" i="19" s="1"/>
  <c r="C16" i="21"/>
  <c r="M28" i="13"/>
  <c r="D9" i="2" s="1"/>
  <c r="W16" i="16"/>
  <c r="E10" i="2" s="1"/>
  <c r="Q25" i="17"/>
  <c r="H37" i="17" s="1"/>
  <c r="F53" i="17"/>
  <c r="H53" i="17" s="1"/>
  <c r="I11" i="19"/>
  <c r="I16" i="19"/>
  <c r="W16" i="20"/>
  <c r="E12" i="2" s="1"/>
  <c r="Q25" i="19"/>
  <c r="H37" i="19" s="1"/>
  <c r="I38" i="21"/>
  <c r="M28" i="21"/>
  <c r="D13" i="2" s="1"/>
  <c r="I10" i="21"/>
  <c r="W16" i="12"/>
  <c r="E8" i="2" s="1"/>
  <c r="I21" i="19"/>
  <c r="I26" i="19"/>
  <c r="R25" i="21"/>
  <c r="I37" i="21" s="1"/>
  <c r="D11" i="21"/>
  <c r="I11" i="21" s="1"/>
  <c r="I15" i="21"/>
  <c r="I16" i="21"/>
  <c r="I11" i="15"/>
  <c r="I152" i="18"/>
  <c r="I38" i="19"/>
  <c r="W12" i="20"/>
  <c r="I5" i="21"/>
  <c r="C6" i="21"/>
  <c r="I6" i="21" s="1"/>
  <c r="I26" i="23"/>
  <c r="Q31" i="25"/>
  <c r="M29" i="25"/>
  <c r="H38" i="27"/>
  <c r="J16" i="2" s="1"/>
  <c r="Q30" i="27"/>
  <c r="I20" i="21"/>
  <c r="I10" i="23"/>
  <c r="I11" i="23"/>
  <c r="M30" i="23" s="1"/>
  <c r="I43" i="23"/>
  <c r="W16" i="24"/>
  <c r="E14" i="2" s="1"/>
  <c r="I21" i="21"/>
  <c r="F53" i="21"/>
  <c r="H53" i="21" s="1"/>
  <c r="H38" i="25"/>
  <c r="J15" i="2" s="1"/>
  <c r="Q30" i="25"/>
  <c r="W12" i="26"/>
  <c r="Q25" i="21"/>
  <c r="H37" i="21" s="1"/>
  <c r="M30" i="27"/>
  <c r="C41" i="21"/>
  <c r="E82" i="23"/>
  <c r="H37" i="23"/>
  <c r="E74" i="23" s="1"/>
  <c r="R8" i="23"/>
  <c r="I37" i="23" s="1"/>
  <c r="M30" i="25"/>
  <c r="W16" i="22"/>
  <c r="E13" i="2" s="1"/>
  <c r="I40" i="23"/>
  <c r="W12" i="22"/>
  <c r="I5" i="23"/>
  <c r="C11" i="23"/>
  <c r="O37" i="23"/>
  <c r="I39" i="23"/>
  <c r="C41" i="23"/>
  <c r="N44" i="23"/>
  <c r="H40" i="23" s="1"/>
  <c r="I38" i="27"/>
  <c r="E85" i="23"/>
  <c r="N60" i="23"/>
  <c r="H42" i="23" s="1"/>
  <c r="R4" i="25"/>
  <c r="R25" i="25" s="1"/>
  <c r="I37" i="25" s="1"/>
  <c r="I152" i="26"/>
  <c r="R6" i="27"/>
  <c r="R25" i="27" s="1"/>
  <c r="I37" i="27" s="1"/>
  <c r="F52" i="21"/>
  <c r="H52" i="21" s="1"/>
  <c r="I38" i="23"/>
  <c r="W12" i="24"/>
  <c r="R5" i="23"/>
  <c r="R25" i="23" s="1"/>
  <c r="I42" i="23"/>
  <c r="G16" i="2" l="1"/>
  <c r="I149" i="28"/>
  <c r="AA1" i="27"/>
  <c r="W13" i="28"/>
  <c r="Q28" i="27"/>
  <c r="S127" i="4"/>
  <c r="U172" i="4"/>
  <c r="P172" i="4"/>
  <c r="F16" i="4"/>
  <c r="T127" i="4"/>
  <c r="D22" i="4"/>
  <c r="M29" i="17"/>
  <c r="K11" i="2"/>
  <c r="S142" i="4"/>
  <c r="P142" i="4"/>
  <c r="S128" i="4"/>
  <c r="U128" i="4"/>
  <c r="M30" i="7"/>
  <c r="H38" i="5"/>
  <c r="J5" i="2" s="1"/>
  <c r="C5" i="2"/>
  <c r="P116" i="4"/>
  <c r="H16" i="2"/>
  <c r="C16" i="4"/>
  <c r="W16" i="28"/>
  <c r="E16" i="2" s="1"/>
  <c r="U177" i="4"/>
  <c r="S177" i="4"/>
  <c r="I39" i="15"/>
  <c r="I62" i="15"/>
  <c r="H39" i="15" s="1"/>
  <c r="I33" i="23"/>
  <c r="M29" i="11"/>
  <c r="K8" i="2"/>
  <c r="U213" i="4"/>
  <c r="T213" i="4"/>
  <c r="P213" i="4"/>
  <c r="R213" i="4" s="1"/>
  <c r="I53" i="2"/>
  <c r="M53" i="2" s="1"/>
  <c r="H30" i="4"/>
  <c r="J161" i="2" s="1"/>
  <c r="M161" i="2" s="1"/>
  <c r="P161" i="2" s="1"/>
  <c r="Q31" i="11"/>
  <c r="P156" i="4"/>
  <c r="U156" i="4"/>
  <c r="M30" i="19"/>
  <c r="M30" i="15"/>
  <c r="P149" i="4"/>
  <c r="T149" i="4"/>
  <c r="U196" i="4"/>
  <c r="P196" i="4"/>
  <c r="P203" i="4"/>
  <c r="S203" i="4"/>
  <c r="I33" i="21"/>
  <c r="W40" i="3"/>
  <c r="Q86" i="3"/>
  <c r="D16" i="4"/>
  <c r="P187" i="4"/>
  <c r="S187" i="4"/>
  <c r="S66" i="4"/>
  <c r="U66" i="4"/>
  <c r="P169" i="4"/>
  <c r="T169" i="4"/>
  <c r="S169" i="4"/>
  <c r="W16" i="26"/>
  <c r="E15" i="2" s="1"/>
  <c r="Q30" i="19"/>
  <c r="H38" i="19"/>
  <c r="J12" i="2" s="1"/>
  <c r="C12" i="2"/>
  <c r="P195" i="4"/>
  <c r="S195" i="4"/>
  <c r="U218" i="4"/>
  <c r="T218" i="4"/>
  <c r="S218" i="4"/>
  <c r="F29" i="4"/>
  <c r="H84" i="2" s="1"/>
  <c r="T243" i="4"/>
  <c r="U243" i="4"/>
  <c r="S243" i="4"/>
  <c r="P243" i="4"/>
  <c r="W12" i="14"/>
  <c r="W16" i="14"/>
  <c r="E9" i="2" s="1"/>
  <c r="U204" i="4"/>
  <c r="P204" i="4"/>
  <c r="S124" i="4"/>
  <c r="U124" i="4"/>
  <c r="P124" i="4"/>
  <c r="R66" i="21"/>
  <c r="O66" i="21"/>
  <c r="I62" i="21"/>
  <c r="H39" i="21" s="1"/>
  <c r="I39" i="21"/>
  <c r="J157" i="2"/>
  <c r="M157" i="2" s="1"/>
  <c r="P157" i="2" s="1"/>
  <c r="F85" i="2"/>
  <c r="P138" i="4"/>
  <c r="U138" i="4"/>
  <c r="S138" i="4"/>
  <c r="T138" i="4"/>
  <c r="R67" i="13"/>
  <c r="O67" i="13"/>
  <c r="I41" i="9"/>
  <c r="I44" i="9" s="1"/>
  <c r="N53" i="9"/>
  <c r="H41" i="9" s="1"/>
  <c r="O48" i="9"/>
  <c r="N53" i="21"/>
  <c r="H41" i="21" s="1"/>
  <c r="O48" i="21"/>
  <c r="I41" i="21"/>
  <c r="R68" i="21"/>
  <c r="O68" i="21"/>
  <c r="R67" i="27"/>
  <c r="O67" i="27"/>
  <c r="O67" i="23"/>
  <c r="R67" i="23"/>
  <c r="S73" i="4"/>
  <c r="U73" i="4"/>
  <c r="T73" i="4"/>
  <c r="P73" i="4"/>
  <c r="Q85" i="3"/>
  <c r="P85" i="3"/>
  <c r="O85" i="3"/>
  <c r="J74" i="3"/>
  <c r="N85" i="3"/>
  <c r="L96" i="3"/>
  <c r="U96" i="3" s="1"/>
  <c r="M85" i="3"/>
  <c r="F74" i="3"/>
  <c r="L85" i="3"/>
  <c r="D74" i="3"/>
  <c r="H25" i="4"/>
  <c r="I25" i="4"/>
  <c r="G25" i="4"/>
  <c r="F25" i="4"/>
  <c r="E25" i="4"/>
  <c r="B10" i="4"/>
  <c r="G10" i="4" s="1"/>
  <c r="J25" i="4"/>
  <c r="M82" i="2"/>
  <c r="U68" i="4"/>
  <c r="T68" i="4"/>
  <c r="S68" i="4"/>
  <c r="P68" i="4"/>
  <c r="T112" i="4"/>
  <c r="P112" i="4"/>
  <c r="U112" i="4"/>
  <c r="S112" i="4"/>
  <c r="T76" i="4"/>
  <c r="U76" i="4"/>
  <c r="S76" i="4"/>
  <c r="P76" i="4"/>
  <c r="E30" i="4"/>
  <c r="T143" i="4"/>
  <c r="S143" i="4"/>
  <c r="P143" i="4"/>
  <c r="R143" i="4" s="1"/>
  <c r="U143" i="4"/>
  <c r="J72" i="3"/>
  <c r="G24" i="4"/>
  <c r="D73" i="3"/>
  <c r="H44" i="9"/>
  <c r="B72" i="3"/>
  <c r="U223" i="4"/>
  <c r="P223" i="4"/>
  <c r="T223" i="4"/>
  <c r="S223" i="4"/>
  <c r="M94" i="3"/>
  <c r="U94" i="3" s="1"/>
  <c r="J23" i="4"/>
  <c r="I23" i="4"/>
  <c r="H23" i="4"/>
  <c r="B8" i="4"/>
  <c r="G8" i="4" s="1"/>
  <c r="G23" i="4"/>
  <c r="F23" i="4"/>
  <c r="U214" i="4"/>
  <c r="T214" i="4"/>
  <c r="S214" i="4"/>
  <c r="P214" i="4"/>
  <c r="P244" i="4"/>
  <c r="U244" i="4"/>
  <c r="T244" i="4"/>
  <c r="S244" i="4"/>
  <c r="P130" i="4"/>
  <c r="U130" i="4"/>
  <c r="T130" i="4"/>
  <c r="S130" i="4"/>
  <c r="T183" i="4"/>
  <c r="S183" i="4"/>
  <c r="P183" i="4"/>
  <c r="U183" i="4"/>
  <c r="J75" i="3"/>
  <c r="O49" i="7"/>
  <c r="R64" i="9"/>
  <c r="N69" i="9"/>
  <c r="O64" i="9"/>
  <c r="H45" i="9"/>
  <c r="R64" i="19"/>
  <c r="O64" i="19"/>
  <c r="N69" i="19"/>
  <c r="O68" i="13"/>
  <c r="R68" i="13"/>
  <c r="R66" i="11"/>
  <c r="O66" i="11"/>
  <c r="R65" i="11"/>
  <c r="O65" i="11"/>
  <c r="R66" i="15"/>
  <c r="O66" i="15"/>
  <c r="R68" i="23"/>
  <c r="O68" i="23"/>
  <c r="T199" i="4"/>
  <c r="S199" i="4"/>
  <c r="P199" i="4"/>
  <c r="U199" i="4"/>
  <c r="S111" i="4"/>
  <c r="T111" i="4"/>
  <c r="P111" i="4"/>
  <c r="U111" i="4"/>
  <c r="U150" i="4"/>
  <c r="T150" i="4"/>
  <c r="S150" i="4"/>
  <c r="P150" i="4"/>
  <c r="J101" i="2"/>
  <c r="M101" i="2" s="1"/>
  <c r="P101" i="2" s="1"/>
  <c r="F77" i="2"/>
  <c r="T86" i="4"/>
  <c r="P86" i="4"/>
  <c r="U86" i="4"/>
  <c r="S86" i="4"/>
  <c r="Q83" i="3"/>
  <c r="O83" i="3"/>
  <c r="B9" i="4"/>
  <c r="G9" i="4" s="1"/>
  <c r="M84" i="3"/>
  <c r="AA1" i="25"/>
  <c r="I149" i="26"/>
  <c r="Q28" i="25"/>
  <c r="W13" i="26"/>
  <c r="G15" i="2"/>
  <c r="H15" i="2" s="1"/>
  <c r="H38" i="21"/>
  <c r="J13" i="2" s="1"/>
  <c r="Q30" i="21"/>
  <c r="C13" i="2"/>
  <c r="T222" i="4"/>
  <c r="S222" i="4"/>
  <c r="P222" i="4"/>
  <c r="U222" i="4"/>
  <c r="J28" i="4"/>
  <c r="B13" i="4"/>
  <c r="G13" i="4" s="1"/>
  <c r="D28" i="4"/>
  <c r="C28" i="4"/>
  <c r="I28" i="4"/>
  <c r="H28" i="4"/>
  <c r="G28" i="4"/>
  <c r="F28" i="4"/>
  <c r="E28" i="4"/>
  <c r="U173" i="4"/>
  <c r="T173" i="4"/>
  <c r="S173" i="4"/>
  <c r="P173" i="4"/>
  <c r="R173" i="4" s="1"/>
  <c r="R65" i="15"/>
  <c r="O65" i="15"/>
  <c r="R68" i="15"/>
  <c r="O68" i="15"/>
  <c r="R64" i="13"/>
  <c r="N69" i="13"/>
  <c r="O64" i="13"/>
  <c r="R68" i="11"/>
  <c r="O68" i="11"/>
  <c r="E79" i="23"/>
  <c r="R66" i="23"/>
  <c r="O66" i="23"/>
  <c r="I90" i="2"/>
  <c r="M90" i="2" s="1"/>
  <c r="I42" i="2"/>
  <c r="M42" i="2" s="1"/>
  <c r="O66" i="25"/>
  <c r="R66" i="25"/>
  <c r="T70" i="4"/>
  <c r="P70" i="4"/>
  <c r="U70" i="4"/>
  <c r="S70" i="4"/>
  <c r="T110" i="4"/>
  <c r="S110" i="4"/>
  <c r="P110" i="4"/>
  <c r="U110" i="4"/>
  <c r="P83" i="3"/>
  <c r="B15" i="4"/>
  <c r="G15" i="4" s="1"/>
  <c r="H24" i="4"/>
  <c r="F73" i="3"/>
  <c r="F77" i="3" s="1"/>
  <c r="Q31" i="9"/>
  <c r="M29" i="9"/>
  <c r="K7" i="2"/>
  <c r="AA1" i="9"/>
  <c r="Q28" i="9"/>
  <c r="W13" i="10"/>
  <c r="I149" i="10"/>
  <c r="G7" i="2"/>
  <c r="H7" i="2" s="1"/>
  <c r="P230" i="4"/>
  <c r="U230" i="4"/>
  <c r="T230" i="4"/>
  <c r="S230" i="4"/>
  <c r="U215" i="4"/>
  <c r="P215" i="4"/>
  <c r="T215" i="4"/>
  <c r="S215" i="4"/>
  <c r="W13" i="24"/>
  <c r="AA1" i="23"/>
  <c r="I149" i="24"/>
  <c r="Q28" i="23"/>
  <c r="G14" i="2"/>
  <c r="H14" i="2" s="1"/>
  <c r="M29" i="27"/>
  <c r="Q31" i="27"/>
  <c r="K16" i="2"/>
  <c r="M29" i="23"/>
  <c r="Q31" i="23"/>
  <c r="K14" i="2"/>
  <c r="Q30" i="23"/>
  <c r="E81" i="23"/>
  <c r="H38" i="23"/>
  <c r="E84" i="23"/>
  <c r="C14" i="2"/>
  <c r="H44" i="21"/>
  <c r="H45" i="21" s="1"/>
  <c r="Q29" i="27"/>
  <c r="I150" i="28"/>
  <c r="L16" i="2"/>
  <c r="M30" i="21"/>
  <c r="I39" i="19"/>
  <c r="H38" i="11"/>
  <c r="J8" i="2" s="1"/>
  <c r="Q30" i="11"/>
  <c r="C8" i="2"/>
  <c r="I149" i="8"/>
  <c r="W13" i="8"/>
  <c r="Q28" i="7"/>
  <c r="AA1" i="7"/>
  <c r="G6" i="2"/>
  <c r="H6" i="2" s="1"/>
  <c r="I44" i="5"/>
  <c r="B73" i="3"/>
  <c r="U242" i="4"/>
  <c r="S242" i="4"/>
  <c r="T242" i="4"/>
  <c r="P242" i="4"/>
  <c r="P209" i="4"/>
  <c r="T209" i="4"/>
  <c r="S209" i="4"/>
  <c r="U209" i="4"/>
  <c r="P154" i="4"/>
  <c r="U154" i="4"/>
  <c r="T154" i="4"/>
  <c r="S154" i="4"/>
  <c r="T191" i="4"/>
  <c r="S191" i="4"/>
  <c r="P191" i="4"/>
  <c r="U191" i="4"/>
  <c r="O64" i="11"/>
  <c r="N69" i="11"/>
  <c r="R64" i="11"/>
  <c r="O48" i="11"/>
  <c r="I41" i="11"/>
  <c r="I44" i="11" s="1"/>
  <c r="N53" i="11"/>
  <c r="H41" i="11" s="1"/>
  <c r="R66" i="13"/>
  <c r="O66" i="13"/>
  <c r="R67" i="11"/>
  <c r="O67" i="11"/>
  <c r="O68" i="17"/>
  <c r="R68" i="17"/>
  <c r="R64" i="25"/>
  <c r="N69" i="25"/>
  <c r="O64" i="25"/>
  <c r="H45" i="25"/>
  <c r="P84" i="4"/>
  <c r="T84" i="4"/>
  <c r="S84" i="4"/>
  <c r="U84" i="4"/>
  <c r="U109" i="4"/>
  <c r="S109" i="4"/>
  <c r="P109" i="4"/>
  <c r="T109" i="4"/>
  <c r="J109" i="2"/>
  <c r="M109" i="2" s="1"/>
  <c r="P109" i="2" s="1"/>
  <c r="G78" i="2"/>
  <c r="U133" i="4"/>
  <c r="S133" i="4"/>
  <c r="T133" i="4"/>
  <c r="P133" i="4"/>
  <c r="P88" i="4"/>
  <c r="U88" i="4"/>
  <c r="T88" i="4"/>
  <c r="S88" i="4"/>
  <c r="U126" i="4"/>
  <c r="T126" i="4"/>
  <c r="P126" i="4"/>
  <c r="S126" i="4"/>
  <c r="I30" i="4"/>
  <c r="I24" i="4"/>
  <c r="N84" i="3"/>
  <c r="U239" i="4"/>
  <c r="P239" i="4"/>
  <c r="T239" i="4"/>
  <c r="S239" i="4"/>
  <c r="U157" i="4"/>
  <c r="S157" i="4"/>
  <c r="P157" i="4"/>
  <c r="T157" i="4"/>
  <c r="T207" i="4"/>
  <c r="S207" i="4"/>
  <c r="P207" i="4"/>
  <c r="U207" i="4"/>
  <c r="P86" i="3"/>
  <c r="N53" i="5"/>
  <c r="H41" i="5" s="1"/>
  <c r="H44" i="5" s="1"/>
  <c r="H45" i="5" s="1"/>
  <c r="O48" i="5"/>
  <c r="I41" i="5"/>
  <c r="N53" i="19"/>
  <c r="H41" i="19" s="1"/>
  <c r="H44" i="19" s="1"/>
  <c r="H45" i="19" s="1"/>
  <c r="O48" i="19"/>
  <c r="I41" i="19"/>
  <c r="N69" i="15"/>
  <c r="O64" i="15"/>
  <c r="R64" i="15"/>
  <c r="O65" i="17"/>
  <c r="R65" i="17"/>
  <c r="R67" i="15"/>
  <c r="O67" i="15"/>
  <c r="I41" i="13"/>
  <c r="N53" i="13"/>
  <c r="H41" i="13" s="1"/>
  <c r="O48" i="13"/>
  <c r="O65" i="19"/>
  <c r="R65" i="19"/>
  <c r="R68" i="27"/>
  <c r="O68" i="27"/>
  <c r="N69" i="27"/>
  <c r="O64" i="27"/>
  <c r="H45" i="27"/>
  <c r="R64" i="27"/>
  <c r="U108" i="4"/>
  <c r="S108" i="4"/>
  <c r="P108" i="4"/>
  <c r="T108" i="4"/>
  <c r="L83" i="3"/>
  <c r="J114" i="2"/>
  <c r="M114" i="2" s="1"/>
  <c r="P114" i="2" s="1"/>
  <c r="E79" i="2"/>
  <c r="J24" i="4"/>
  <c r="O84" i="3"/>
  <c r="R65" i="9"/>
  <c r="O65" i="9"/>
  <c r="R68" i="9"/>
  <c r="O68" i="9"/>
  <c r="O66" i="17"/>
  <c r="R66" i="17"/>
  <c r="R64" i="17"/>
  <c r="N69" i="17"/>
  <c r="O64" i="17"/>
  <c r="I41" i="17"/>
  <c r="N53" i="17"/>
  <c r="H41" i="17" s="1"/>
  <c r="O48" i="17"/>
  <c r="R65" i="13"/>
  <c r="O65" i="13"/>
  <c r="R67" i="25"/>
  <c r="O67" i="25"/>
  <c r="O65" i="21"/>
  <c r="R65" i="21"/>
  <c r="R64" i="23"/>
  <c r="N69" i="23"/>
  <c r="I91" i="2" s="1"/>
  <c r="M91" i="2" s="1"/>
  <c r="O64" i="23"/>
  <c r="J30" i="4"/>
  <c r="G30" i="4"/>
  <c r="J29" i="4"/>
  <c r="G29" i="4"/>
  <c r="B14" i="4"/>
  <c r="G14" i="4" s="1"/>
  <c r="E29" i="4"/>
  <c r="F30" i="4"/>
  <c r="T100" i="4"/>
  <c r="U100" i="4"/>
  <c r="S100" i="4"/>
  <c r="P100" i="4"/>
  <c r="R100" i="4" s="1"/>
  <c r="M83" i="3"/>
  <c r="J115" i="2"/>
  <c r="M115" i="2" s="1"/>
  <c r="P115" i="2" s="1"/>
  <c r="F79" i="2"/>
  <c r="J73" i="3"/>
  <c r="I149" i="20"/>
  <c r="Q28" i="19"/>
  <c r="AA1" i="19"/>
  <c r="W13" i="20"/>
  <c r="G12" i="2"/>
  <c r="H12" i="2" s="1"/>
  <c r="I62" i="17"/>
  <c r="H39" i="17" s="1"/>
  <c r="H44" i="17" s="1"/>
  <c r="H45" i="17" s="1"/>
  <c r="I39" i="17"/>
  <c r="J131" i="2"/>
  <c r="M131" i="2" s="1"/>
  <c r="P131" i="2" s="1"/>
  <c r="H81" i="2"/>
  <c r="Q31" i="19"/>
  <c r="M29" i="19"/>
  <c r="K12" i="2"/>
  <c r="M29" i="13"/>
  <c r="Q31" i="13"/>
  <c r="K9" i="2"/>
  <c r="Q28" i="5"/>
  <c r="W13" i="6"/>
  <c r="I149" i="6"/>
  <c r="AA1" i="5"/>
  <c r="G5" i="2"/>
  <c r="H5" i="2" s="1"/>
  <c r="Q31" i="15"/>
  <c r="M29" i="15"/>
  <c r="K10" i="2"/>
  <c r="U231" i="4"/>
  <c r="P231" i="4"/>
  <c r="T231" i="4"/>
  <c r="S231" i="4"/>
  <c r="O66" i="9"/>
  <c r="R66" i="9"/>
  <c r="R67" i="9"/>
  <c r="O67" i="9"/>
  <c r="R67" i="17"/>
  <c r="O67" i="17"/>
  <c r="O67" i="19"/>
  <c r="R67" i="19"/>
  <c r="O66" i="19"/>
  <c r="R66" i="19"/>
  <c r="N53" i="25"/>
  <c r="H41" i="25" s="1"/>
  <c r="H44" i="25" s="1"/>
  <c r="O48" i="25"/>
  <c r="I41" i="25"/>
  <c r="I44" i="25" s="1"/>
  <c r="N53" i="27"/>
  <c r="H41" i="27" s="1"/>
  <c r="H44" i="27" s="1"/>
  <c r="O48" i="27"/>
  <c r="I41" i="27"/>
  <c r="I44" i="27" s="1"/>
  <c r="O67" i="21"/>
  <c r="R67" i="21"/>
  <c r="R68" i="25"/>
  <c r="O68" i="25"/>
  <c r="U125" i="4"/>
  <c r="T125" i="4"/>
  <c r="S125" i="4"/>
  <c r="P125" i="4"/>
  <c r="R123" i="4" s="1"/>
  <c r="P121" i="4"/>
  <c r="U121" i="4"/>
  <c r="T121" i="4"/>
  <c r="S121" i="4"/>
  <c r="S72" i="4"/>
  <c r="U72" i="4"/>
  <c r="T72" i="4"/>
  <c r="P72" i="4"/>
  <c r="R72" i="4" s="1"/>
  <c r="T119" i="4"/>
  <c r="S119" i="4"/>
  <c r="P119" i="4"/>
  <c r="U119" i="4"/>
  <c r="F22" i="4"/>
  <c r="B7" i="4"/>
  <c r="J22" i="4"/>
  <c r="I22" i="4"/>
  <c r="H22" i="4"/>
  <c r="G22" i="4"/>
  <c r="E22" i="4"/>
  <c r="D72" i="3"/>
  <c r="E24" i="4"/>
  <c r="P84" i="3"/>
  <c r="U30" i="27"/>
  <c r="P16" i="2" s="1"/>
  <c r="U29" i="27"/>
  <c r="O150" i="28"/>
  <c r="U31" i="27"/>
  <c r="U28" i="27"/>
  <c r="O149" i="28"/>
  <c r="B16" i="2"/>
  <c r="I44" i="21"/>
  <c r="M29" i="21"/>
  <c r="Q31" i="21"/>
  <c r="K13" i="2"/>
  <c r="I149" i="16"/>
  <c r="Q28" i="15"/>
  <c r="W13" i="16"/>
  <c r="AA1" i="15"/>
  <c r="G10" i="2"/>
  <c r="H10" i="2" s="1"/>
  <c r="M29" i="7"/>
  <c r="Q31" i="7"/>
  <c r="K6" i="2"/>
  <c r="P114" i="4"/>
  <c r="T114" i="4"/>
  <c r="U114" i="4"/>
  <c r="S114" i="4"/>
  <c r="I149" i="22"/>
  <c r="W13" i="22"/>
  <c r="AA1" i="21"/>
  <c r="Q28" i="21"/>
  <c r="G13" i="2"/>
  <c r="H13" i="2" s="1"/>
  <c r="R220" i="4"/>
  <c r="R221" i="4"/>
  <c r="P212" i="4"/>
  <c r="S212" i="4"/>
  <c r="U212" i="4"/>
  <c r="T212" i="4"/>
  <c r="P146" i="4"/>
  <c r="R167" i="4" s="1"/>
  <c r="U146" i="4"/>
  <c r="T146" i="4"/>
  <c r="S146" i="4"/>
  <c r="F75" i="3"/>
  <c r="I44" i="13"/>
  <c r="W13" i="18"/>
  <c r="I149" i="18"/>
  <c r="Q28" i="17"/>
  <c r="AA1" i="17"/>
  <c r="G11" i="2"/>
  <c r="H11" i="2" s="1"/>
  <c r="H74" i="3"/>
  <c r="H77" i="3" s="1"/>
  <c r="H44" i="13"/>
  <c r="H45" i="13" s="1"/>
  <c r="W13" i="12"/>
  <c r="I149" i="12"/>
  <c r="Q28" i="11"/>
  <c r="AA1" i="11"/>
  <c r="G8" i="2"/>
  <c r="H8" i="2" s="1"/>
  <c r="M69" i="7"/>
  <c r="O64" i="7"/>
  <c r="S238" i="4"/>
  <c r="P238" i="4"/>
  <c r="R238" i="4" s="1"/>
  <c r="U238" i="4"/>
  <c r="T238" i="4"/>
  <c r="R226" i="4"/>
  <c r="D75" i="3"/>
  <c r="O50" i="11"/>
  <c r="I41" i="15"/>
  <c r="I44" i="15" s="1"/>
  <c r="O48" i="15"/>
  <c r="N53" i="15"/>
  <c r="H41" i="15" s="1"/>
  <c r="H44" i="15" s="1"/>
  <c r="H45" i="15" s="1"/>
  <c r="I41" i="7"/>
  <c r="I44" i="7" s="1"/>
  <c r="N53" i="7"/>
  <c r="H41" i="7" s="1"/>
  <c r="H44" i="7" s="1"/>
  <c r="H45" i="7" s="1"/>
  <c r="O48" i="7"/>
  <c r="R64" i="21"/>
  <c r="R69" i="21" s="1"/>
  <c r="N69" i="21"/>
  <c r="O64" i="21"/>
  <c r="R68" i="19"/>
  <c r="O68" i="19"/>
  <c r="R65" i="25"/>
  <c r="O65" i="25"/>
  <c r="R65" i="27"/>
  <c r="O65" i="27"/>
  <c r="R65" i="23"/>
  <c r="O65" i="23"/>
  <c r="O48" i="23"/>
  <c r="N53" i="23"/>
  <c r="H41" i="23" s="1"/>
  <c r="I41" i="23"/>
  <c r="I44" i="23" s="1"/>
  <c r="R66" i="27"/>
  <c r="O66" i="27"/>
  <c r="T175" i="4"/>
  <c r="S175" i="4"/>
  <c r="P175" i="4"/>
  <c r="R181" i="4" s="1"/>
  <c r="U175" i="4"/>
  <c r="J97" i="3"/>
  <c r="U97" i="3" s="1"/>
  <c r="H26" i="4"/>
  <c r="G26" i="4"/>
  <c r="E26" i="4"/>
  <c r="D26" i="4"/>
  <c r="C26" i="4"/>
  <c r="B11" i="4"/>
  <c r="G11" i="4" s="1"/>
  <c r="J26" i="4"/>
  <c r="I26" i="4"/>
  <c r="P74" i="4"/>
  <c r="S74" i="4"/>
  <c r="U74" i="4"/>
  <c r="T74" i="4"/>
  <c r="H29" i="4"/>
  <c r="J108" i="2"/>
  <c r="M108" i="2" s="1"/>
  <c r="P108" i="2" s="1"/>
  <c r="F78" i="2"/>
  <c r="N83" i="3"/>
  <c r="I29" i="4"/>
  <c r="F24" i="4"/>
  <c r="L84" i="3"/>
  <c r="Q84" i="3"/>
  <c r="R139" i="4" l="1"/>
  <c r="R142" i="4"/>
  <c r="R89" i="4"/>
  <c r="R105" i="4"/>
  <c r="R113" i="4"/>
  <c r="R153" i="4"/>
  <c r="R131" i="4"/>
  <c r="R129" i="4"/>
  <c r="R206" i="4"/>
  <c r="J152" i="2"/>
  <c r="M152" i="2" s="1"/>
  <c r="P152" i="2" s="1"/>
  <c r="J85" i="2"/>
  <c r="G9" i="2"/>
  <c r="H9" i="2" s="1"/>
  <c r="I149" i="14"/>
  <c r="Q28" i="13"/>
  <c r="W13" i="14"/>
  <c r="AA1" i="13"/>
  <c r="R236" i="4"/>
  <c r="R69" i="17"/>
  <c r="R215" i="4"/>
  <c r="I44" i="19"/>
  <c r="R125" i="4"/>
  <c r="H44" i="11"/>
  <c r="H45" i="11" s="1"/>
  <c r="H46" i="21"/>
  <c r="I45" i="21"/>
  <c r="I46" i="21" s="1"/>
  <c r="H46" i="7"/>
  <c r="I45" i="7"/>
  <c r="I46" i="7" s="1"/>
  <c r="I45" i="13"/>
  <c r="I46" i="13" s="1"/>
  <c r="H46" i="13"/>
  <c r="H46" i="17"/>
  <c r="H46" i="5"/>
  <c r="I45" i="5"/>
  <c r="I46" i="5" s="1"/>
  <c r="I45" i="15"/>
  <c r="I46" i="15" s="1"/>
  <c r="H46" i="15"/>
  <c r="H46" i="19"/>
  <c r="I45" i="19"/>
  <c r="I46" i="19" s="1"/>
  <c r="J133" i="2"/>
  <c r="M133" i="2" s="1"/>
  <c r="P133" i="2" s="1"/>
  <c r="J81" i="2"/>
  <c r="R107" i="4"/>
  <c r="R241" i="4"/>
  <c r="U30" i="11"/>
  <c r="P8" i="2" s="1"/>
  <c r="U31" i="11"/>
  <c r="U28" i="11"/>
  <c r="O149" i="12"/>
  <c r="B8" i="2"/>
  <c r="J106" i="2"/>
  <c r="M106" i="2" s="1"/>
  <c r="P106" i="2" s="1"/>
  <c r="K77" i="2"/>
  <c r="I32" i="4"/>
  <c r="I92" i="2" s="1"/>
  <c r="M92" i="2" s="1"/>
  <c r="R119" i="4"/>
  <c r="R137" i="4"/>
  <c r="R78" i="4"/>
  <c r="R108" i="4"/>
  <c r="R177" i="4"/>
  <c r="R189" i="4"/>
  <c r="R239" i="4"/>
  <c r="K85" i="2"/>
  <c r="J162" i="2"/>
  <c r="M162" i="2" s="1"/>
  <c r="P162" i="2" s="1"/>
  <c r="R69" i="11"/>
  <c r="R208" i="4"/>
  <c r="O149" i="24"/>
  <c r="U31" i="23"/>
  <c r="U30" i="23"/>
  <c r="P14" i="2" s="1"/>
  <c r="U28" i="23"/>
  <c r="B14" i="2"/>
  <c r="R87" i="4"/>
  <c r="R128" i="4"/>
  <c r="R192" i="4"/>
  <c r="J143" i="2"/>
  <c r="M143" i="2" s="1"/>
  <c r="P143" i="2" s="1"/>
  <c r="F83" i="2"/>
  <c r="R211" i="4"/>
  <c r="R102" i="4"/>
  <c r="R111" i="4"/>
  <c r="J110" i="2"/>
  <c r="M110" i="2" s="1"/>
  <c r="P110" i="2" s="1"/>
  <c r="H78" i="2"/>
  <c r="R115" i="4"/>
  <c r="R76" i="4"/>
  <c r="R68" i="4"/>
  <c r="R64" i="4"/>
  <c r="J123" i="2"/>
  <c r="M123" i="2" s="1"/>
  <c r="P123" i="2" s="1"/>
  <c r="G80" i="2"/>
  <c r="R73" i="4"/>
  <c r="R160" i="4"/>
  <c r="J155" i="2"/>
  <c r="M155" i="2" s="1"/>
  <c r="P155" i="2" s="1"/>
  <c r="K84" i="2"/>
  <c r="L73" i="3"/>
  <c r="M180" i="2" s="1"/>
  <c r="U84" i="3"/>
  <c r="W50" i="3"/>
  <c r="I180" i="2"/>
  <c r="J160" i="2"/>
  <c r="M160" i="2" s="1"/>
  <c r="P160" i="2" s="1"/>
  <c r="I85" i="2"/>
  <c r="R96" i="4"/>
  <c r="R106" i="4"/>
  <c r="H46" i="11"/>
  <c r="I45" i="11"/>
  <c r="I46" i="11" s="1"/>
  <c r="I150" i="24"/>
  <c r="O150" i="24" s="1"/>
  <c r="Q29" i="23"/>
  <c r="U29" i="23" s="1"/>
  <c r="L14" i="2"/>
  <c r="I57" i="2"/>
  <c r="M57" i="2" s="1"/>
  <c r="R151" i="4"/>
  <c r="R217" i="4"/>
  <c r="R86" i="4"/>
  <c r="R98" i="4"/>
  <c r="R69" i="9"/>
  <c r="J111" i="2"/>
  <c r="M111" i="2" s="1"/>
  <c r="P111" i="2" s="1"/>
  <c r="I78" i="2"/>
  <c r="R223" i="4"/>
  <c r="J77" i="3"/>
  <c r="U83" i="3"/>
  <c r="W47" i="3"/>
  <c r="L72" i="3"/>
  <c r="G3" i="3"/>
  <c r="O3" i="3" s="1"/>
  <c r="I179" i="2"/>
  <c r="J124" i="2"/>
  <c r="M124" i="2" s="1"/>
  <c r="P124" i="2" s="1"/>
  <c r="H80" i="2"/>
  <c r="R175" i="4"/>
  <c r="R182" i="4"/>
  <c r="R196" i="4"/>
  <c r="R204" i="4"/>
  <c r="R190" i="4"/>
  <c r="R187" i="4"/>
  <c r="R174" i="4"/>
  <c r="R195" i="4"/>
  <c r="R179" i="4"/>
  <c r="R203" i="4"/>
  <c r="R180" i="4"/>
  <c r="R188" i="4"/>
  <c r="J32" i="4"/>
  <c r="I44" i="17"/>
  <c r="I45" i="17" s="1"/>
  <c r="I46" i="17" s="1"/>
  <c r="J117" i="2"/>
  <c r="M117" i="2" s="1"/>
  <c r="P117" i="2" s="1"/>
  <c r="H79" i="2"/>
  <c r="E81" i="2"/>
  <c r="J128" i="2"/>
  <c r="M128" i="2" s="1"/>
  <c r="P128" i="2" s="1"/>
  <c r="C32" i="4"/>
  <c r="I150" i="18"/>
  <c r="Q29" i="17"/>
  <c r="L11" i="2"/>
  <c r="N11" i="2" s="1"/>
  <c r="R114" i="4"/>
  <c r="U28" i="15"/>
  <c r="O149" i="16"/>
  <c r="U30" i="15"/>
  <c r="P10" i="2" s="1"/>
  <c r="U31" i="15"/>
  <c r="B10" i="2"/>
  <c r="O16" i="2"/>
  <c r="I16" i="2"/>
  <c r="G79" i="2"/>
  <c r="J116" i="2"/>
  <c r="M116" i="2" s="1"/>
  <c r="P116" i="2" s="1"/>
  <c r="B16" i="4"/>
  <c r="I168" i="2" s="1"/>
  <c r="G7" i="4"/>
  <c r="G16" i="4" s="1"/>
  <c r="R121" i="4"/>
  <c r="R237" i="4"/>
  <c r="R164" i="4"/>
  <c r="R117" i="4"/>
  <c r="R193" i="4"/>
  <c r="R197" i="4"/>
  <c r="R157" i="4"/>
  <c r="R168" i="4"/>
  <c r="R82" i="4"/>
  <c r="R84" i="4"/>
  <c r="N16" i="2"/>
  <c r="Q29" i="9"/>
  <c r="I150" i="10"/>
  <c r="O150" i="10" s="1"/>
  <c r="L7" i="2"/>
  <c r="N7" i="2" s="1"/>
  <c r="J119" i="2"/>
  <c r="M119" i="2" s="1"/>
  <c r="P119" i="2" s="1"/>
  <c r="J79" i="2"/>
  <c r="R66" i="4"/>
  <c r="R69" i="13"/>
  <c r="G83" i="2"/>
  <c r="J144" i="2"/>
  <c r="M144" i="2" s="1"/>
  <c r="P144" i="2" s="1"/>
  <c r="U29" i="25"/>
  <c r="O149" i="26"/>
  <c r="U30" i="25"/>
  <c r="P15" i="2" s="1"/>
  <c r="U28" i="25"/>
  <c r="O150" i="26"/>
  <c r="U31" i="25"/>
  <c r="B15" i="2"/>
  <c r="R150" i="4"/>
  <c r="G17" i="4"/>
  <c r="J125" i="2"/>
  <c r="M125" i="2" s="1"/>
  <c r="P125" i="2" s="1"/>
  <c r="I80" i="2"/>
  <c r="J129" i="2"/>
  <c r="M129" i="2" s="1"/>
  <c r="P129" i="2" s="1"/>
  <c r="F81" i="2"/>
  <c r="I150" i="12"/>
  <c r="O150" i="12" s="1"/>
  <c r="Q29" i="11"/>
  <c r="U29" i="11" s="1"/>
  <c r="L8" i="2"/>
  <c r="N8" i="2" s="1"/>
  <c r="R146" i="4"/>
  <c r="R145" i="4"/>
  <c r="R158" i="4"/>
  <c r="R161" i="4"/>
  <c r="I150" i="16"/>
  <c r="O150" i="16" s="1"/>
  <c r="Q29" i="15"/>
  <c r="U29" i="15" s="1"/>
  <c r="L10" i="2"/>
  <c r="N10" i="2" s="1"/>
  <c r="D77" i="3"/>
  <c r="J103" i="2"/>
  <c r="M103" i="2" s="1"/>
  <c r="P103" i="2" s="1"/>
  <c r="H77" i="2"/>
  <c r="F32" i="4"/>
  <c r="R240" i="4"/>
  <c r="J159" i="2"/>
  <c r="M159" i="2" s="1"/>
  <c r="P159" i="2" s="1"/>
  <c r="H85" i="2"/>
  <c r="R85" i="4"/>
  <c r="R65" i="4"/>
  <c r="R169" i="4"/>
  <c r="R227" i="4"/>
  <c r="R88" i="4"/>
  <c r="H46" i="25"/>
  <c r="I45" i="25"/>
  <c r="I46" i="25" s="1"/>
  <c r="R162" i="4"/>
  <c r="R154" i="4"/>
  <c r="R127" i="4"/>
  <c r="R70" i="4"/>
  <c r="J145" i="2"/>
  <c r="M145" i="2" s="1"/>
  <c r="P145" i="2" s="1"/>
  <c r="H83" i="2"/>
  <c r="R228" i="4"/>
  <c r="R132" i="4"/>
  <c r="R118" i="4"/>
  <c r="W56" i="3"/>
  <c r="L75" i="3"/>
  <c r="M182" i="2" s="1"/>
  <c r="I182" i="2"/>
  <c r="U86" i="3"/>
  <c r="R244" i="4"/>
  <c r="J112" i="2"/>
  <c r="M112" i="2" s="1"/>
  <c r="P112" i="2" s="1"/>
  <c r="J78" i="2"/>
  <c r="R176" i="4"/>
  <c r="J127" i="2"/>
  <c r="M127" i="2" s="1"/>
  <c r="P127" i="2" s="1"/>
  <c r="K80" i="2"/>
  <c r="W53" i="3"/>
  <c r="L74" i="3"/>
  <c r="M181" i="2" s="1"/>
  <c r="U85" i="3"/>
  <c r="I181" i="2"/>
  <c r="J130" i="2"/>
  <c r="M130" i="2" s="1"/>
  <c r="P130" i="2" s="1"/>
  <c r="G81" i="2"/>
  <c r="O149" i="22"/>
  <c r="U31" i="21"/>
  <c r="U28" i="21"/>
  <c r="U30" i="21"/>
  <c r="P13" i="2" s="1"/>
  <c r="B13" i="2"/>
  <c r="R201" i="4"/>
  <c r="R69" i="4"/>
  <c r="R147" i="4"/>
  <c r="R198" i="4"/>
  <c r="J151" i="2"/>
  <c r="M151" i="2" s="1"/>
  <c r="P151" i="2" s="1"/>
  <c r="G84" i="2"/>
  <c r="R235" i="4"/>
  <c r="R126" i="4"/>
  <c r="R71" i="4"/>
  <c r="R109" i="4"/>
  <c r="R194" i="4"/>
  <c r="R209" i="4"/>
  <c r="U31" i="7"/>
  <c r="U28" i="7"/>
  <c r="O149" i="8"/>
  <c r="U30" i="7"/>
  <c r="P6" i="2" s="1"/>
  <c r="B6" i="2"/>
  <c r="J14" i="2"/>
  <c r="H44" i="23"/>
  <c r="O149" i="10"/>
  <c r="U31" i="9"/>
  <c r="U29" i="9"/>
  <c r="U28" i="9"/>
  <c r="U30" i="9"/>
  <c r="P7" i="2" s="1"/>
  <c r="B7" i="2"/>
  <c r="R75" i="4"/>
  <c r="I83" i="2"/>
  <c r="J146" i="2"/>
  <c r="M146" i="2" s="1"/>
  <c r="P146" i="2" s="1"/>
  <c r="D32" i="4"/>
  <c r="R140" i="4"/>
  <c r="R135" i="4"/>
  <c r="R214" i="4"/>
  <c r="R229" i="4"/>
  <c r="R225" i="4"/>
  <c r="R243" i="4"/>
  <c r="J113" i="2"/>
  <c r="M113" i="2" s="1"/>
  <c r="P113" i="2" s="1"/>
  <c r="K78" i="2"/>
  <c r="B77" i="3"/>
  <c r="R156" i="4"/>
  <c r="J126" i="2"/>
  <c r="M126" i="2" s="1"/>
  <c r="P126" i="2" s="1"/>
  <c r="J80" i="2"/>
  <c r="R148" i="4"/>
  <c r="J132" i="2"/>
  <c r="M132" i="2" s="1"/>
  <c r="P132" i="2" s="1"/>
  <c r="I81" i="2"/>
  <c r="R170" i="4"/>
  <c r="I150" i="22"/>
  <c r="O150" i="22" s="1"/>
  <c r="Q29" i="21"/>
  <c r="U29" i="21" s="1"/>
  <c r="L13" i="2"/>
  <c r="N13" i="2" s="1"/>
  <c r="R186" i="4"/>
  <c r="G77" i="2"/>
  <c r="J102" i="2"/>
  <c r="M102" i="2" s="1"/>
  <c r="P102" i="2" s="1"/>
  <c r="E32" i="4"/>
  <c r="R91" i="4"/>
  <c r="U30" i="5"/>
  <c r="P5" i="2" s="1"/>
  <c r="O149" i="6"/>
  <c r="U31" i="5"/>
  <c r="U28" i="5"/>
  <c r="B5" i="2"/>
  <c r="I150" i="20"/>
  <c r="Q29" i="19"/>
  <c r="L12" i="2"/>
  <c r="N12" i="2" s="1"/>
  <c r="R101" i="4"/>
  <c r="R69" i="23"/>
  <c r="R77" i="4"/>
  <c r="R69" i="27"/>
  <c r="R69" i="15"/>
  <c r="R207" i="4"/>
  <c r="R218" i="4"/>
  <c r="R133" i="4"/>
  <c r="R191" i="4"/>
  <c r="R171" i="4"/>
  <c r="R242" i="4"/>
  <c r="R90" i="4"/>
  <c r="J147" i="2"/>
  <c r="M147" i="2" s="1"/>
  <c r="P147" i="2" s="1"/>
  <c r="J83" i="2"/>
  <c r="R222" i="4"/>
  <c r="R69" i="19"/>
  <c r="R155" i="4"/>
  <c r="R130" i="4"/>
  <c r="R152" i="4"/>
  <c r="R103" i="4"/>
  <c r="R134" i="4"/>
  <c r="R74" i="4"/>
  <c r="R94" i="4"/>
  <c r="R95" i="4"/>
  <c r="R83" i="4"/>
  <c r="R81" i="4"/>
  <c r="R92" i="4"/>
  <c r="J153" i="2"/>
  <c r="M153" i="2" s="1"/>
  <c r="P153" i="2" s="1"/>
  <c r="I84" i="2"/>
  <c r="R116" i="4"/>
  <c r="H46" i="27"/>
  <c r="I45" i="27"/>
  <c r="I46" i="27" s="1"/>
  <c r="R69" i="25"/>
  <c r="R205" i="4"/>
  <c r="Q29" i="7"/>
  <c r="U29" i="7" s="1"/>
  <c r="I150" i="8"/>
  <c r="O150" i="8" s="1"/>
  <c r="L6" i="2"/>
  <c r="N6" i="2" s="1"/>
  <c r="R166" i="4"/>
  <c r="R165" i="4"/>
  <c r="R200" i="4"/>
  <c r="K83" i="2"/>
  <c r="J148" i="2"/>
  <c r="M148" i="2" s="1"/>
  <c r="P148" i="2" s="1"/>
  <c r="R124" i="4"/>
  <c r="R199" i="4"/>
  <c r="H46" i="9"/>
  <c r="I45" i="9"/>
  <c r="I46" i="9" s="1"/>
  <c r="R136" i="4"/>
  <c r="R112" i="4"/>
  <c r="R149" i="4"/>
  <c r="I77" i="2"/>
  <c r="J104" i="2"/>
  <c r="M104" i="2" s="1"/>
  <c r="P104" i="2" s="1"/>
  <c r="G32" i="4"/>
  <c r="O149" i="20"/>
  <c r="U29" i="19"/>
  <c r="O150" i="20"/>
  <c r="U30" i="19"/>
  <c r="P12" i="2" s="1"/>
  <c r="U28" i="19"/>
  <c r="U31" i="19"/>
  <c r="B12" i="2"/>
  <c r="J84" i="2"/>
  <c r="J154" i="2"/>
  <c r="M154" i="2" s="1"/>
  <c r="P154" i="2" s="1"/>
  <c r="J134" i="2"/>
  <c r="M134" i="2" s="1"/>
  <c r="P134" i="2" s="1"/>
  <c r="K81" i="2"/>
  <c r="R163" i="4"/>
  <c r="O149" i="18"/>
  <c r="U29" i="17"/>
  <c r="U31" i="17"/>
  <c r="O150" i="18"/>
  <c r="U28" i="17"/>
  <c r="U30" i="17"/>
  <c r="P11" i="2" s="1"/>
  <c r="B11" i="2"/>
  <c r="R178" i="4"/>
  <c r="R212" i="4"/>
  <c r="J77" i="2"/>
  <c r="J105" i="2"/>
  <c r="M105" i="2" s="1"/>
  <c r="P105" i="2" s="1"/>
  <c r="H32" i="4"/>
  <c r="R231" i="4"/>
  <c r="R232" i="4"/>
  <c r="I35" i="4"/>
  <c r="G36" i="4"/>
  <c r="R234" i="4"/>
  <c r="F35" i="4"/>
  <c r="A36" i="4"/>
  <c r="R233" i="4"/>
  <c r="I150" i="6"/>
  <c r="O150" i="6" s="1"/>
  <c r="Q29" i="5"/>
  <c r="U29" i="5" s="1"/>
  <c r="L5" i="2"/>
  <c r="N5" i="2" s="1"/>
  <c r="R172" i="4"/>
  <c r="J120" i="2"/>
  <c r="M120" i="2" s="1"/>
  <c r="P120" i="2" s="1"/>
  <c r="K79" i="2"/>
  <c r="R67" i="4"/>
  <c r="R216" i="4"/>
  <c r="N14" i="2"/>
  <c r="R210" i="4"/>
  <c r="R230" i="4"/>
  <c r="R110" i="4"/>
  <c r="R104" i="4"/>
  <c r="R202" i="4"/>
  <c r="R144" i="4"/>
  <c r="I88" i="2"/>
  <c r="M88" i="2" s="1"/>
  <c r="J142" i="2"/>
  <c r="M142" i="2" s="1"/>
  <c r="P142" i="2" s="1"/>
  <c r="E83" i="2"/>
  <c r="I150" i="26"/>
  <c r="Q29" i="25"/>
  <c r="L15" i="2"/>
  <c r="N15" i="2" s="1"/>
  <c r="R141" i="4"/>
  <c r="R183" i="4"/>
  <c r="R159" i="4"/>
  <c r="J118" i="2"/>
  <c r="M118" i="2" s="1"/>
  <c r="P118" i="2" s="1"/>
  <c r="I79" i="2"/>
  <c r="G85" i="2"/>
  <c r="M85" i="2" s="1"/>
  <c r="J158" i="2"/>
  <c r="M158" i="2" s="1"/>
  <c r="P158" i="2" s="1"/>
  <c r="R120" i="4"/>
  <c r="R138" i="4"/>
  <c r="O149" i="14" l="1"/>
  <c r="U30" i="13"/>
  <c r="P9" i="2" s="1"/>
  <c r="U28" i="13"/>
  <c r="B9" i="2"/>
  <c r="I150" i="14"/>
  <c r="O150" i="14" s="1"/>
  <c r="Q29" i="13"/>
  <c r="U29" i="13" s="1"/>
  <c r="L9" i="2"/>
  <c r="N9" i="2" s="1"/>
  <c r="U31" i="13"/>
  <c r="M78" i="2"/>
  <c r="M79" i="2"/>
  <c r="I7" i="2"/>
  <c r="O7" i="2"/>
  <c r="O11" i="2"/>
  <c r="I11" i="2"/>
  <c r="I6" i="2"/>
  <c r="O6" i="2"/>
  <c r="I174" i="2"/>
  <c r="M174" i="2" s="1"/>
  <c r="M168" i="2"/>
  <c r="M80" i="2"/>
  <c r="I14" i="2"/>
  <c r="O14" i="2"/>
  <c r="O15" i="2"/>
  <c r="I15" i="2"/>
  <c r="M81" i="2"/>
  <c r="L77" i="3"/>
  <c r="M179" i="2"/>
  <c r="N57" i="4"/>
  <c r="M59" i="4"/>
  <c r="N39" i="4"/>
  <c r="M48" i="4"/>
  <c r="M52" i="4"/>
  <c r="M54" i="4"/>
  <c r="N41" i="4"/>
  <c r="N44" i="4"/>
  <c r="M49" i="4"/>
  <c r="M53" i="4"/>
  <c r="N51" i="4"/>
  <c r="N53" i="4"/>
  <c r="M45" i="4"/>
  <c r="M50" i="4"/>
  <c r="N40" i="4"/>
  <c r="N56" i="4"/>
  <c r="M46" i="4"/>
  <c r="N54" i="4"/>
  <c r="N42" i="4"/>
  <c r="N38" i="4"/>
  <c r="N59" i="4"/>
  <c r="M56" i="4"/>
  <c r="M41" i="4"/>
  <c r="N43" i="4"/>
  <c r="N55" i="4"/>
  <c r="M43" i="4"/>
  <c r="M40" i="4"/>
  <c r="M57" i="4"/>
  <c r="N48" i="4"/>
  <c r="M38" i="4"/>
  <c r="M42" i="4"/>
  <c r="N45" i="4"/>
  <c r="N49" i="4"/>
  <c r="M55" i="4"/>
  <c r="M39" i="4"/>
  <c r="N46" i="4"/>
  <c r="N50" i="4"/>
  <c r="N58" i="4"/>
  <c r="N52" i="4"/>
  <c r="M44" i="4"/>
  <c r="N47" i="4"/>
  <c r="M51" i="4"/>
  <c r="M58" i="4"/>
  <c r="M47" i="4"/>
  <c r="M83" i="2"/>
  <c r="I13" i="2"/>
  <c r="O13" i="2"/>
  <c r="I5" i="2"/>
  <c r="O5" i="2"/>
  <c r="M84" i="2"/>
  <c r="I10" i="2"/>
  <c r="O10" i="2"/>
  <c r="I185" i="2"/>
  <c r="M185" i="2" s="1"/>
  <c r="I184" i="2"/>
  <c r="M184" i="2" s="1"/>
  <c r="I8" i="2"/>
  <c r="O8" i="2"/>
  <c r="I12" i="2"/>
  <c r="O12" i="2"/>
  <c r="M77" i="2"/>
  <c r="E86" i="23"/>
  <c r="H45" i="23"/>
  <c r="I9" i="2" l="1"/>
  <c r="O9" i="2"/>
  <c r="B42" i="4"/>
  <c r="A42" i="4"/>
  <c r="F42" i="4"/>
  <c r="C42" i="4"/>
  <c r="A41" i="4"/>
  <c r="F41" i="4"/>
  <c r="C41" i="4"/>
  <c r="B41" i="4"/>
  <c r="H40" i="4"/>
  <c r="G40" i="4"/>
  <c r="K40" i="4"/>
  <c r="J40" i="4"/>
  <c r="I40" i="4"/>
  <c r="K41" i="4"/>
  <c r="J41" i="4"/>
  <c r="I41" i="4"/>
  <c r="H41" i="4"/>
  <c r="G41" i="4"/>
  <c r="J52" i="4"/>
  <c r="K52" i="4"/>
  <c r="I52" i="4"/>
  <c r="H52" i="4"/>
  <c r="G52" i="4"/>
  <c r="G58" i="4"/>
  <c r="H58" i="4"/>
  <c r="K58" i="4"/>
  <c r="J58" i="4"/>
  <c r="I58" i="4"/>
  <c r="B38" i="4"/>
  <c r="F38" i="4"/>
  <c r="C38" i="4"/>
  <c r="A38" i="4"/>
  <c r="A56" i="4"/>
  <c r="C56" i="4"/>
  <c r="B56" i="4"/>
  <c r="F56" i="4"/>
  <c r="A50" i="4"/>
  <c r="F50" i="4"/>
  <c r="C50" i="4"/>
  <c r="B50" i="4"/>
  <c r="B54" i="4"/>
  <c r="C54" i="4"/>
  <c r="A54" i="4"/>
  <c r="F54" i="4"/>
  <c r="I48" i="4"/>
  <c r="G48" i="4"/>
  <c r="K48" i="4"/>
  <c r="J48" i="4"/>
  <c r="H48" i="4"/>
  <c r="J59" i="4"/>
  <c r="K59" i="4"/>
  <c r="H59" i="4"/>
  <c r="G59" i="4"/>
  <c r="I59" i="4"/>
  <c r="F45" i="4"/>
  <c r="C45" i="4"/>
  <c r="B45" i="4"/>
  <c r="A45" i="4"/>
  <c r="C52" i="4"/>
  <c r="F52" i="4"/>
  <c r="B52" i="4"/>
  <c r="A52" i="4"/>
  <c r="G46" i="4"/>
  <c r="H46" i="4"/>
  <c r="K46" i="4"/>
  <c r="J46" i="4"/>
  <c r="I46" i="4"/>
  <c r="K38" i="4"/>
  <c r="J38" i="4"/>
  <c r="I38" i="4"/>
  <c r="H38" i="4"/>
  <c r="G38" i="4"/>
  <c r="G53" i="4"/>
  <c r="J53" i="4"/>
  <c r="K53" i="4"/>
  <c r="I53" i="4"/>
  <c r="H53" i="4"/>
  <c r="F48" i="4"/>
  <c r="C48" i="4"/>
  <c r="B48" i="4"/>
  <c r="A48" i="4"/>
  <c r="B47" i="4"/>
  <c r="F47" i="4"/>
  <c r="C47" i="4"/>
  <c r="A47" i="4"/>
  <c r="C58" i="4"/>
  <c r="A58" i="4"/>
  <c r="F58" i="4"/>
  <c r="B58" i="4"/>
  <c r="F40" i="4"/>
  <c r="C40" i="4"/>
  <c r="B40" i="4"/>
  <c r="A40" i="4"/>
  <c r="H42" i="4"/>
  <c r="K42" i="4"/>
  <c r="J42" i="4"/>
  <c r="I42" i="4"/>
  <c r="G42" i="4"/>
  <c r="H51" i="4"/>
  <c r="K51" i="4"/>
  <c r="J51" i="4"/>
  <c r="I51" i="4"/>
  <c r="G51" i="4"/>
  <c r="I39" i="4"/>
  <c r="J39" i="4"/>
  <c r="H39" i="4"/>
  <c r="G39" i="4"/>
  <c r="K39" i="4"/>
  <c r="H50" i="4"/>
  <c r="K50" i="4"/>
  <c r="J50" i="4"/>
  <c r="I50" i="4"/>
  <c r="G50" i="4"/>
  <c r="C57" i="4"/>
  <c r="F57" i="4"/>
  <c r="B57" i="4"/>
  <c r="A57" i="4"/>
  <c r="C51" i="4"/>
  <c r="F51" i="4"/>
  <c r="B51" i="4"/>
  <c r="A51" i="4"/>
  <c r="B55" i="4"/>
  <c r="C55" i="4"/>
  <c r="A55" i="4"/>
  <c r="F55" i="4"/>
  <c r="C43" i="4"/>
  <c r="F43" i="4"/>
  <c r="B43" i="4"/>
  <c r="A43" i="4"/>
  <c r="G54" i="4"/>
  <c r="K54" i="4"/>
  <c r="J54" i="4"/>
  <c r="I54" i="4"/>
  <c r="H54" i="4"/>
  <c r="C53" i="4"/>
  <c r="B53" i="4"/>
  <c r="A53" i="4"/>
  <c r="F53" i="4"/>
  <c r="C59" i="4"/>
  <c r="F59" i="4"/>
  <c r="B59" i="4"/>
  <c r="A59" i="4"/>
  <c r="I175" i="2"/>
  <c r="M175" i="2" s="1"/>
  <c r="H46" i="23"/>
  <c r="I45" i="23"/>
  <c r="I46" i="23" s="1"/>
  <c r="F39" i="4"/>
  <c r="C39" i="4"/>
  <c r="B39" i="4"/>
  <c r="A39" i="4"/>
  <c r="I47" i="4"/>
  <c r="G47" i="4"/>
  <c r="K47" i="4"/>
  <c r="J47" i="4"/>
  <c r="H47" i="4"/>
  <c r="K49" i="4"/>
  <c r="G49" i="4"/>
  <c r="J49" i="4"/>
  <c r="I49" i="4"/>
  <c r="H49" i="4"/>
  <c r="I55" i="4"/>
  <c r="K55" i="4"/>
  <c r="J55" i="4"/>
  <c r="H55" i="4"/>
  <c r="G55" i="4"/>
  <c r="B46" i="4"/>
  <c r="F46" i="4"/>
  <c r="C46" i="4"/>
  <c r="A46" i="4"/>
  <c r="A49" i="4"/>
  <c r="F49" i="4"/>
  <c r="C49" i="4"/>
  <c r="B49" i="4"/>
  <c r="H57" i="4"/>
  <c r="I57" i="4"/>
  <c r="K57" i="4"/>
  <c r="J57" i="4"/>
  <c r="G57" i="4"/>
  <c r="F44" i="4"/>
  <c r="C44" i="4"/>
  <c r="B44" i="4"/>
  <c r="A44" i="4"/>
  <c r="G45" i="4"/>
  <c r="J45" i="4"/>
  <c r="H45" i="4"/>
  <c r="K45" i="4"/>
  <c r="I45" i="4"/>
  <c r="K43" i="4"/>
  <c r="J43" i="4"/>
  <c r="I43" i="4"/>
  <c r="H43" i="4"/>
  <c r="G43" i="4"/>
  <c r="K56" i="4"/>
  <c r="G56" i="4"/>
  <c r="J56" i="4"/>
  <c r="I56" i="4"/>
  <c r="H56" i="4"/>
  <c r="J44" i="4"/>
  <c r="I44" i="4"/>
  <c r="H44" i="4"/>
  <c r="G44" i="4"/>
  <c r="K44" i="4"/>
</calcChain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<sst xmlns="http://schemas.openxmlformats.org/spreadsheetml/2006/main" count="26787" uniqueCount="2558">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</sst>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</numFmts>
  <fonts count="76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</fonts>
  <fills count="58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</fills>
  <borders count="94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3">
    <xf numFmtId="0" fontId="0" fillId="26" borderId="10"/>
    <xf numFmtId="0" fontId="26" fillId="26" borderId="10"/>
    <xf numFmtId="0" fontId="32" fillId="26" borderId="10"/>
  </cellStyleXfs>
  <cellXfs count="483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s">
        <v>213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s">
        <v>215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s">
        <v>217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219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s">
        <v>222</v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s">
        <v>223</v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s">
        <v>226</v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89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2" width="12" customWidth="1"/>
    <col min="3" max="8" width="18" customWidth="1"/>
    <col min="9" max="9" width="12" customWidth="1"/>
    <col min="10" max="14" width="18" customWidth="1"/>
    <col min="15" max="16" width="12" customWidth="1"/>
    <col min="17" max="17" width="46" customWidth="1"/>
    <col min="19" max="25" width="13" hidden="1" customWidth="1"/>
  </cols>
  <sheetData>
    <row r="1" spans="1:17">
      <c r="A1" s="369" t="s">
        <v>227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1"/>
    </row>
    <row r="2" spans="1:17" ht="32" customHeight="1">
      <c r="A2" s="383" t="s">
        <v>228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1"/>
    </row>
    <row r="4" spans="1:17" ht="40" customHeight="1">
      <c r="A4" s="119" t="s">
        <v>47</v>
      </c>
      <c r="B4" s="119" t="s">
        <v>229</v>
      </c>
      <c r="C4" s="119" t="s">
        <v>230</v>
      </c>
      <c r="D4" s="119" t="s">
        <v>231</v>
      </c>
      <c r="E4" s="119" t="s">
        <v>232</v>
      </c>
      <c r="F4" s="119" t="s">
        <v>233</v>
      </c>
      <c r="G4" s="119" t="s">
        <v>234</v>
      </c>
      <c r="H4" s="119" t="s">
        <v>235</v>
      </c>
      <c r="I4" s="119" t="s">
        <v>236</v>
      </c>
      <c r="J4" s="119" t="s">
        <v>237</v>
      </c>
      <c r="K4" s="119" t="s">
        <v>238</v>
      </c>
      <c r="L4" s="119" t="s">
        <v>239</v>
      </c>
      <c r="M4" s="119" t="s">
        <v>240</v>
      </c>
      <c r="N4" s="119" t="s">
        <v>241</v>
      </c>
      <c r="O4" s="119" t="s">
        <v>242</v>
      </c>
      <c r="P4" s="119" t="s">
        <v>243</v>
      </c>
      <c r="Q4" s="119" t="s">
        <v>244</v>
      </c>
    </row>
    <row r="5" spans="1:17" ht="42" customHeight="1">
      <c r="A5" s="118" t="str">
        <f>HYPERLINK("#'1월'!A1","1월")</f>
        <v>1월</v>
      </c>
      <c r="B5" s="118" t="str">
        <f>IF('1월'!AA1,"입력됨","미입력")</f>
        <v>입력됨</v>
      </c>
      <c r="C5" s="120">
        <f>'1월'!I33</f>
        <v>1137880</v>
      </c>
      <c r="D5" s="120">
        <f>'1월'!M28</f>
        <v>1157000</v>
      </c>
      <c r="E5" s="120">
        <f>'1월계산기'!W16</f>
        <v>1157000</v>
      </c>
      <c r="F5" s="120">
        <f>'1월계산기'!W15</f>
        <v>0</v>
      </c>
      <c r="G5" s="120">
        <f>'1월계산기'!W12</f>
        <v>1157000</v>
      </c>
      <c r="H5" s="120">
        <f t="shared" ref="H5:H16" si="0">D5-G5</f>
        <v>0</v>
      </c>
      <c r="I5" s="121" t="b">
        <f t="shared" ref="I5:I16" si="1">IF(B5="미입력","미입력",D5=G5)</f>
        <v>1</v>
      </c>
      <c r="J5" s="120">
        <f>'1월'!H38</f>
        <v>1137880</v>
      </c>
      <c r="K5" s="120">
        <f>'1월'!I38</f>
        <v>1157000</v>
      </c>
      <c r="L5" s="120">
        <f>'1월계산기'!W13</f>
        <v>1157000</v>
      </c>
      <c r="M5" s="120">
        <f>'1월계산기'!W14</f>
        <v>0</v>
      </c>
      <c r="N5" s="120">
        <f t="shared" ref="N5:N16" si="2">K5-L5</f>
        <v>0</v>
      </c>
      <c r="O5" s="121" t="b">
        <f t="shared" ref="O5:O16" si="3">IF(B5="미입력","미입력",K5=L5)</f>
        <v>1</v>
      </c>
      <c r="P5" s="121" t="b">
        <f>'1월'!U30</f>
        <v>1</v>
      </c>
      <c r="Q5" s="118" t="s">
        <v>245</v>
      </c>
    </row>
    <row r="6" spans="1:17" ht="42" customHeight="1">
      <c r="A6" s="118" t="str">
        <f>HYPERLINK("#'2월'!A1","2월")</f>
        <v>2월</v>
      </c>
      <c r="B6" s="118" t="str">
        <f>IF('2월'!AA1,"입력됨","미입력")</f>
        <v>입력됨</v>
      </c>
      <c r="C6" s="120">
        <f>'2월'!I33</f>
        <v>950260</v>
      </c>
      <c r="D6" s="120">
        <f>'2월'!M28</f>
        <v>975000</v>
      </c>
      <c r="E6" s="120">
        <f>'2월계산기'!W16</f>
        <v>975000</v>
      </c>
      <c r="F6" s="120">
        <f>'2월계산기'!W15</f>
        <v>0</v>
      </c>
      <c r="G6" s="120">
        <f>'2월계산기'!W12</f>
        <v>975000</v>
      </c>
      <c r="H6" s="120">
        <f t="shared" si="0"/>
        <v>0</v>
      </c>
      <c r="I6" s="121" t="b">
        <f t="shared" si="1"/>
        <v>1</v>
      </c>
      <c r="J6" s="120">
        <f>'2월'!H38</f>
        <v>950260</v>
      </c>
      <c r="K6" s="120">
        <f>'2월'!I38</f>
        <v>975000</v>
      </c>
      <c r="L6" s="120">
        <f>'2월계산기'!W13</f>
        <v>975000</v>
      </c>
      <c r="M6" s="120">
        <f>'2월계산기'!W14</f>
        <v>0</v>
      </c>
      <c r="N6" s="120">
        <f t="shared" si="2"/>
        <v>0</v>
      </c>
      <c r="O6" s="121" t="b">
        <f t="shared" si="3"/>
        <v>1</v>
      </c>
      <c r="P6" s="121" t="b">
        <f>'2월'!U30</f>
        <v>1</v>
      </c>
      <c r="Q6" s="118" t="s">
        <v>245</v>
      </c>
    </row>
    <row r="7" spans="1:17" ht="42" customHeight="1">
      <c r="A7" s="118" t="str">
        <f>HYPERLINK("#'3월'!A1","3월")</f>
        <v>3월</v>
      </c>
      <c r="B7" s="118" t="str">
        <f>IF('3월'!AA1,"입력됨","미입력")</f>
        <v>입력됨</v>
      </c>
      <c r="C7" s="120">
        <f>'3월'!I33</f>
        <v>894480</v>
      </c>
      <c r="D7" s="120">
        <f>'3월'!M28</f>
        <v>926000</v>
      </c>
      <c r="E7" s="120">
        <f>'3월계산기'!W16</f>
        <v>926000</v>
      </c>
      <c r="F7" s="120">
        <f>'3월계산기'!W15</f>
        <v>0</v>
      </c>
      <c r="G7" s="120">
        <f>'3월계산기'!W12</f>
        <v>926000</v>
      </c>
      <c r="H7" s="120">
        <f t="shared" si="0"/>
        <v>0</v>
      </c>
      <c r="I7" s="121" t="b">
        <f t="shared" si="1"/>
        <v>1</v>
      </c>
      <c r="J7" s="120">
        <f>'3월'!H38</f>
        <v>894480</v>
      </c>
      <c r="K7" s="120">
        <f>'3월'!I38</f>
        <v>926000</v>
      </c>
      <c r="L7" s="120">
        <f>'3월계산기'!W13</f>
        <v>926000</v>
      </c>
      <c r="M7" s="120">
        <f>'3월계산기'!W14</f>
        <v>0</v>
      </c>
      <c r="N7" s="120">
        <f t="shared" si="2"/>
        <v>0</v>
      </c>
      <c r="O7" s="121" t="b">
        <f t="shared" si="3"/>
        <v>1</v>
      </c>
      <c r="P7" s="121" t="b">
        <f>'3월'!U30</f>
        <v>1</v>
      </c>
      <c r="Q7" s="118" t="s">
        <v>245</v>
      </c>
    </row>
    <row r="8" spans="1:17" ht="42" customHeight="1">
      <c r="A8" s="118" t="str">
        <f>HYPERLINK("#'4월'!A1","4월")</f>
        <v>4월</v>
      </c>
      <c r="B8" s="118" t="str">
        <f>IF('4월'!AA1,"입력됨","미입력")</f>
        <v>입력됨</v>
      </c>
      <c r="C8" s="120">
        <f>'4월'!I33</f>
        <v>1016640</v>
      </c>
      <c r="D8" s="120">
        <f>'4월'!M28</f>
        <v>1047000</v>
      </c>
      <c r="E8" s="120">
        <f>'4월계산기'!W16</f>
        <v>1047000</v>
      </c>
      <c r="F8" s="120">
        <f>'4월계산기'!W15</f>
        <v>0</v>
      </c>
      <c r="G8" s="120">
        <f>'4월계산기'!W12</f>
        <v>1047000</v>
      </c>
      <c r="H8" s="120">
        <f t="shared" si="0"/>
        <v>0</v>
      </c>
      <c r="I8" s="121" t="b">
        <f t="shared" si="1"/>
        <v>1</v>
      </c>
      <c r="J8" s="120">
        <f>'4월'!H38</f>
        <v>1016640</v>
      </c>
      <c r="K8" s="120">
        <f>'4월'!I38</f>
        <v>1047000</v>
      </c>
      <c r="L8" s="120">
        <f>'4월계산기'!W13</f>
        <v>1047000</v>
      </c>
      <c r="M8" s="120">
        <f>'4월계산기'!W14</f>
        <v>0</v>
      </c>
      <c r="N8" s="120">
        <f t="shared" si="2"/>
        <v>0</v>
      </c>
      <c r="O8" s="121" t="b">
        <f t="shared" si="3"/>
        <v>1</v>
      </c>
      <c r="P8" s="121" t="b">
        <f>'4월'!U30</f>
        <v>1</v>
      </c>
      <c r="Q8" s="118" t="s">
        <v>245</v>
      </c>
    </row>
    <row r="9" spans="1:17" ht="42" customHeight="1">
      <c r="A9" s="118" t="str">
        <f>HYPERLINK("#'5월'!A1","5월")</f>
        <v>5월</v>
      </c>
      <c r="B9" s="118" t="str">
        <f>IF('5월'!AA1,"입력됨","미입력")</f>
        <v>입력됨</v>
      </c>
      <c r="C9" s="120">
        <f>'5월'!I33</f>
        <v>1152815</v>
      </c>
      <c r="D9" s="120">
        <f>'5월'!M28</f>
        <v>1197000</v>
      </c>
      <c r="E9" s="120">
        <f>'5월계산기'!W16</f>
        <v>1197000</v>
      </c>
      <c r="F9" s="120">
        <f>'5월계산기'!W15</f>
        <v>0</v>
      </c>
      <c r="G9" s="120">
        <f>'5월계산기'!W12</f>
        <v>1197000</v>
      </c>
      <c r="H9" s="120">
        <f t="shared" si="0"/>
        <v>0</v>
      </c>
      <c r="I9" s="121" t="b">
        <f t="shared" si="1"/>
        <v>1</v>
      </c>
      <c r="J9" s="120">
        <f>'5월'!H38</f>
        <v>1003915</v>
      </c>
      <c r="K9" s="120">
        <f>'5월'!I38</f>
        <v>1048000</v>
      </c>
      <c r="L9" s="120">
        <f>'5월계산기'!W13</f>
        <v>1048000</v>
      </c>
      <c r="M9" s="120">
        <f>'5월계산기'!W14</f>
        <v>149000</v>
      </c>
      <c r="N9" s="120">
        <f t="shared" si="2"/>
        <v>0</v>
      </c>
      <c r="O9" s="121" t="b">
        <f t="shared" si="3"/>
        <v>1</v>
      </c>
      <c r="P9" s="121" t="b">
        <f>'5월'!U30</f>
        <v>1</v>
      </c>
      <c r="Q9" s="118" t="s">
        <v>246</v>
      </c>
    </row>
    <row r="10" spans="1:17" ht="42" customHeight="1">
      <c r="A10" s="118" t="str">
        <f>HYPERLINK("#'6월'!A1","6월")</f>
        <v>6월</v>
      </c>
      <c r="B10" s="118" t="str">
        <f>IF('6월'!AA1,"입력됨","미입력")</f>
        <v>입력됨</v>
      </c>
      <c r="C10" s="120">
        <f>'6월'!I33</f>
        <v>1441255</v>
      </c>
      <c r="D10" s="120">
        <f>'6월'!M28</f>
        <v>1481000</v>
      </c>
      <c r="E10" s="120">
        <f>'6월계산기'!W16</f>
        <v>1481000</v>
      </c>
      <c r="F10" s="120">
        <f>'6월계산기'!W15</f>
        <v>0</v>
      </c>
      <c r="G10" s="120">
        <f>'6월계산기'!W12</f>
        <v>1481000</v>
      </c>
      <c r="H10" s="120">
        <f t="shared" si="0"/>
        <v>0</v>
      </c>
      <c r="I10" s="121" t="b">
        <f t="shared" si="1"/>
        <v>1</v>
      </c>
      <c r="J10" s="120">
        <f>'6월'!H38</f>
        <v>1441255</v>
      </c>
      <c r="K10" s="120">
        <f>'6월'!I38</f>
        <v>1481000</v>
      </c>
      <c r="L10" s="120">
        <f>'6월계산기'!W13</f>
        <v>1481000</v>
      </c>
      <c r="M10" s="120">
        <f>'6월계산기'!W14</f>
        <v>0</v>
      </c>
      <c r="N10" s="120">
        <f t="shared" si="2"/>
        <v>0</v>
      </c>
      <c r="O10" s="121" t="b">
        <f t="shared" si="3"/>
        <v>1</v>
      </c>
      <c r="P10" s="121" t="b">
        <f>'6월'!U30</f>
        <v>1</v>
      </c>
      <c r="Q10" s="118" t="s">
        <v>245</v>
      </c>
    </row>
    <row r="11" spans="1:17" ht="42" customHeight="1">
      <c r="A11" s="118" t="str">
        <f>HYPERLINK("#'7월'!A1","7월")</f>
        <v>7월</v>
      </c>
      <c r="B11" s="118" t="str">
        <f>IF('7월'!AA1,"입력됨","미입력")</f>
        <v>입력됨</v>
      </c>
      <c r="C11" s="120">
        <f>'7월'!I33</f>
        <v>1477534</v>
      </c>
      <c r="D11" s="120">
        <f>'7월'!M28</f>
        <v>1519000</v>
      </c>
      <c r="E11" s="120">
        <f>'7월계산기'!W16</f>
        <v>1519000</v>
      </c>
      <c r="F11" s="120">
        <f>'7월계산기'!W15</f>
        <v>0</v>
      </c>
      <c r="G11" s="120">
        <f>'7월계산기'!W12</f>
        <v>1519000</v>
      </c>
      <c r="H11" s="120">
        <f t="shared" si="0"/>
        <v>0</v>
      </c>
      <c r="I11" s="121" t="b">
        <f t="shared" si="1"/>
        <v>1</v>
      </c>
      <c r="J11" s="120">
        <f>'7월'!H38</f>
        <v>1477534</v>
      </c>
      <c r="K11" s="120">
        <f>'7월'!I38</f>
        <v>1519000</v>
      </c>
      <c r="L11" s="120">
        <f>'7월계산기'!W13</f>
        <v>1519000</v>
      </c>
      <c r="M11" s="120">
        <f>'7월계산기'!W14</f>
        <v>0</v>
      </c>
      <c r="N11" s="120">
        <f t="shared" si="2"/>
        <v>0</v>
      </c>
      <c r="O11" s="121" t="b">
        <f t="shared" si="3"/>
        <v>1</v>
      </c>
      <c r="P11" s="121" t="b">
        <f>'7월'!U30</f>
        <v>1</v>
      </c>
      <c r="Q11" s="118" t="s">
        <v>245</v>
      </c>
    </row>
    <row r="12" spans="1:17" ht="42" customHeight="1">
      <c r="A12" s="118" t="str">
        <f>HYPERLINK("#'8월'!A1","8월")</f>
        <v>8월</v>
      </c>
      <c r="B12" s="118" t="str">
        <f>IF('8월'!AA1,"입력됨","미입력")</f>
        <v>입력됨</v>
      </c>
      <c r="C12" s="120">
        <f>'8월'!I33</f>
        <v>2299443</v>
      </c>
      <c r="D12" s="120">
        <f>'8월'!M28</f>
        <v>2354000</v>
      </c>
      <c r="E12" s="120">
        <f>'8월계산기'!W16</f>
        <v>2354000</v>
      </c>
      <c r="F12" s="120">
        <f>'8월계산기'!W15</f>
        <v>0</v>
      </c>
      <c r="G12" s="120">
        <f>'8월계산기'!W12</f>
        <v>2354000</v>
      </c>
      <c r="H12" s="120">
        <f t="shared" si="0"/>
        <v>0</v>
      </c>
      <c r="I12" s="121" t="b">
        <f t="shared" si="1"/>
        <v>1</v>
      </c>
      <c r="J12" s="120">
        <f>'8월'!H38</f>
        <v>2299443</v>
      </c>
      <c r="K12" s="120">
        <f>'8월'!I38</f>
        <v>2354000</v>
      </c>
      <c r="L12" s="120">
        <f>'8월계산기'!W13</f>
        <v>2354000</v>
      </c>
      <c r="M12" s="120">
        <f>'8월계산기'!W14</f>
        <v>0</v>
      </c>
      <c r="N12" s="120">
        <f t="shared" si="2"/>
        <v>0</v>
      </c>
      <c r="O12" s="121" t="b">
        <f t="shared" si="3"/>
        <v>1</v>
      </c>
      <c r="P12" s="121" t="b">
        <f>'8월'!U30</f>
        <v>1</v>
      </c>
      <c r="Q12" s="118" t="s">
        <v>245</v>
      </c>
    </row>
    <row r="13" spans="1:17" ht="42" customHeight="1">
      <c r="A13" s="118" t="str">
        <f>HYPERLINK("#'9월'!A1","9월")</f>
        <v>9월</v>
      </c>
      <c r="B13" s="118" t="str">
        <f>IF('9월'!AA1,"입력됨","미입력")</f>
        <v>입력됨</v>
      </c>
      <c r="C13" s="120">
        <f>'9월'!I33</f>
        <v>1912851</v>
      </c>
      <c r="D13" s="120">
        <f>'9월'!M28</f>
        <v>1955000</v>
      </c>
      <c r="E13" s="120">
        <f>'9월계산기'!W16</f>
        <v>1907000</v>
      </c>
      <c r="F13" s="120">
        <f>'9월계산기'!W15</f>
        <v>50000</v>
      </c>
      <c r="G13" s="120">
        <f>'9월계산기'!W12</f>
        <v>1955000</v>
      </c>
      <c r="H13" s="120">
        <f t="shared" si="0"/>
        <v>0</v>
      </c>
      <c r="I13" s="121" t="b">
        <f t="shared" si="1"/>
        <v>1</v>
      </c>
      <c r="J13" s="120">
        <f>'9월'!H38</f>
        <v>1862851</v>
      </c>
      <c r="K13" s="120">
        <f>'9월'!I38</f>
        <v>1905000</v>
      </c>
      <c r="L13" s="120">
        <f>'9월계산기'!W13</f>
        <v>1905000</v>
      </c>
      <c r="M13" s="120">
        <f>'9월계산기'!W14</f>
        <v>50000</v>
      </c>
      <c r="N13" s="120">
        <f t="shared" si="2"/>
        <v>0</v>
      </c>
      <c r="O13" s="121" t="b">
        <f t="shared" si="3"/>
        <v>1</v>
      </c>
      <c r="P13" s="121" t="b">
        <f>'9월'!U30</f>
        <v>1</v>
      </c>
      <c r="Q13" s="118" t="s">
        <v>247</v>
      </c>
    </row>
    <row r="14" spans="1:17" ht="42" customHeight="1">
      <c r="A14" s="118" t="str">
        <f>HYPERLINK("#'10월'!A1","10월")</f>
        <v>10월</v>
      </c>
      <c r="B14" s="118" t="str">
        <f>IF('10월'!AA1,"입력됨","미입력")</f>
        <v>입력됨</v>
      </c>
      <c r="C14" s="120">
        <f>'10월'!I33</f>
        <v>1218440</v>
      </c>
      <c r="D14" s="120">
        <f>'10월'!M28</f>
        <v>1238000</v>
      </c>
      <c r="E14" s="120">
        <f>'10월계산기'!W16</f>
        <v>1238000</v>
      </c>
      <c r="F14" s="120">
        <f>'10월계산기'!W15</f>
        <v>0</v>
      </c>
      <c r="G14" s="120">
        <f>'10월계산기'!W12</f>
        <v>1238000</v>
      </c>
      <c r="H14" s="120">
        <f t="shared" si="0"/>
        <v>0</v>
      </c>
      <c r="I14" s="121" t="b">
        <f t="shared" si="1"/>
        <v>1</v>
      </c>
      <c r="J14" s="120">
        <f>'10월'!H38</f>
        <v>1218440</v>
      </c>
      <c r="K14" s="120">
        <f>'10월'!I38</f>
        <v>1238000</v>
      </c>
      <c r="L14" s="120">
        <f>'10월계산기'!W13</f>
        <v>1238000</v>
      </c>
      <c r="M14" s="120">
        <f>'10월계산기'!W14</f>
        <v>0</v>
      </c>
      <c r="N14" s="120">
        <f t="shared" si="2"/>
        <v>0</v>
      </c>
      <c r="O14" s="121" t="b">
        <f t="shared" si="3"/>
        <v>1</v>
      </c>
      <c r="P14" s="121" t="b">
        <f>'10월'!U30</f>
        <v>1</v>
      </c>
      <c r="Q14" s="118" t="s">
        <v>248</v>
      </c>
    </row>
    <row r="15" spans="1:17" ht="42" customHeight="1">
      <c r="A15" s="118" t="str">
        <f>HYPERLINK("#'11월'!A1","11월")</f>
        <v>11월</v>
      </c>
      <c r="B15" s="118" t="str">
        <f>IF('11월'!AA1,"입력됨","미입력")</f>
        <v>미입력</v>
      </c>
      <c r="C15" s="120">
        <f>'11월'!I33</f>
        <v>0</v>
      </c>
      <c r="D15" s="120">
        <f>'11월'!M28</f>
        <v>0</v>
      </c>
      <c r="E15" s="120">
        <f>'11월계산기'!W16</f>
        <v>0</v>
      </c>
      <c r="F15" s="120">
        <f>'11월계산기'!W15</f>
        <v>0</v>
      </c>
      <c r="G15" s="120">
        <f>'11월계산기'!W12</f>
        <v>0</v>
      </c>
      <c r="H15" s="120">
        <f t="shared" si="0"/>
        <v>0</v>
      </c>
      <c r="I15" s="121" t="str">
        <f t="shared" si="1"/>
        <v>미입력</v>
      </c>
      <c r="J15" s="120">
        <f>'11월'!H38</f>
        <v>0</v>
      </c>
      <c r="K15" s="120">
        <f>'11월'!I38</f>
        <v>0</v>
      </c>
      <c r="L15" s="120">
        <f>'11월계산기'!W13</f>
        <v>0</v>
      </c>
      <c r="M15" s="120">
        <f>'11월계산기'!W14</f>
        <v>0</v>
      </c>
      <c r="N15" s="120">
        <f t="shared" si="2"/>
        <v>0</v>
      </c>
      <c r="O15" s="121" t="str">
        <f t="shared" si="3"/>
        <v>미입력</v>
      </c>
      <c r="P15" s="121" t="str">
        <f>'11월'!U30</f>
        <v>미입력</v>
      </c>
      <c r="Q15" s="118" t="s">
        <v>249</v>
      </c>
    </row>
    <row r="16" spans="1:17" ht="42" customHeight="1">
      <c r="A16" s="118" t="str">
        <f>HYPERLINK("#'12월'!A1","12월")</f>
        <v>12월</v>
      </c>
      <c r="B16" s="118" t="str">
        <f>IF('12월'!AA1,"입력됨","미입력")</f>
        <v>미입력</v>
      </c>
      <c r="C16" s="120">
        <f>'12월'!I33</f>
        <v>0</v>
      </c>
      <c r="D16" s="120">
        <f>'12월'!M28</f>
        <v>0</v>
      </c>
      <c r="E16" s="120">
        <f>'12월계산기'!W16</f>
        <v>0</v>
      </c>
      <c r="F16" s="120">
        <f>'12월계산기'!W15</f>
        <v>0</v>
      </c>
      <c r="G16" s="120">
        <f>'12월계산기'!W12</f>
        <v>0</v>
      </c>
      <c r="H16" s="120">
        <f t="shared" si="0"/>
        <v>0</v>
      </c>
      <c r="I16" s="121" t="str">
        <f t="shared" si="1"/>
        <v>미입력</v>
      </c>
      <c r="J16" s="120">
        <f>'12월'!H38</f>
        <v>0</v>
      </c>
      <c r="K16" s="120">
        <f>'12월'!I38</f>
        <v>0</v>
      </c>
      <c r="L16" s="120">
        <f>'12월계산기'!W13</f>
        <v>0</v>
      </c>
      <c r="M16" s="120">
        <f>'12월계산기'!W14</f>
        <v>0</v>
      </c>
      <c r="N16" s="120">
        <f t="shared" si="2"/>
        <v>0</v>
      </c>
      <c r="O16" s="121" t="str">
        <f t="shared" si="3"/>
        <v>미입력</v>
      </c>
      <c r="P16" s="121" t="str">
        <f>'12월'!U30</f>
        <v>미입력</v>
      </c>
      <c r="Q16" s="118" t="s">
        <v>249</v>
      </c>
    </row>
    <row r="19" spans="1:17">
      <c r="A19" s="369" t="s">
        <v>250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1"/>
    </row>
    <row r="20" spans="1:17" ht="32" customHeight="1">
      <c r="A20" s="383" t="s">
        <v>251</v>
      </c>
      <c r="B20" s="370"/>
      <c r="C20" s="370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1"/>
    </row>
    <row r="21" spans="1:17" ht="32" customHeight="1">
      <c r="A21" s="383" t="s">
        <v>252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1"/>
    </row>
    <row r="22" spans="1:17" ht="32" customHeight="1">
      <c r="A22" s="383" t="s">
        <v>253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1"/>
    </row>
    <row r="23" spans="1:17" ht="32" customHeight="1">
      <c r="A23" s="383" t="s">
        <v>254</v>
      </c>
      <c r="B23" s="370"/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1"/>
    </row>
    <row r="24" spans="1:17" ht="32" customHeight="1">
      <c r="A24" s="383" t="s">
        <v>255</v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1"/>
    </row>
    <row r="25" spans="1:17" ht="32" customHeight="1">
      <c r="A25" s="383" t="s">
        <v>256</v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1"/>
    </row>
    <row r="26" spans="1:17" ht="32" customHeight="1">
      <c r="A26" s="383" t="s">
        <v>257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1"/>
    </row>
    <row r="27" spans="1:17" ht="32" customHeight="1">
      <c r="A27" s="383" t="s">
        <v>258</v>
      </c>
      <c r="B27" s="370"/>
      <c r="C27" s="370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1"/>
    </row>
    <row r="28" spans="1:17" ht="32" customHeight="1">
      <c r="A28" s="383" t="s">
        <v>259</v>
      </c>
      <c r="B28" s="370"/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1"/>
    </row>
    <row r="29" spans="1:17" ht="32" customHeight="1">
      <c r="A29" s="383" t="s">
        <v>260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1"/>
    </row>
    <row r="30" spans="1:17" ht="32" customHeight="1">
      <c r="A30" s="383" t="s">
        <v>261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1"/>
    </row>
    <row r="31" spans="1:17" ht="32" customHeight="1">
      <c r="A31" s="383" t="s">
        <v>262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</row>
    <row r="32" spans="1:17" ht="32" customHeight="1">
      <c r="A32" s="383" t="s">
        <v>263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</row>
    <row r="34" spans="1:17">
      <c r="A34" s="369" t="s">
        <v>264</v>
      </c>
      <c r="B34" s="370"/>
      <c r="C34" s="37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</row>
    <row r="35" spans="1:17" ht="24" customHeight="1">
      <c r="A35" s="384" t="s">
        <v>265</v>
      </c>
      <c r="B35" s="370"/>
      <c r="C35" s="370"/>
      <c r="D35" s="370"/>
      <c r="E35" s="370"/>
      <c r="F35" s="370"/>
      <c r="G35" s="370"/>
      <c r="H35" s="371"/>
      <c r="I35" s="385">
        <f>COUNT(RAW!$G$2323:$G$2453)</f>
        <v>131</v>
      </c>
      <c r="J35" s="370"/>
      <c r="K35" s="370"/>
      <c r="L35" s="371"/>
      <c r="M35" s="387" t="b">
        <f>I35=131</f>
        <v>1</v>
      </c>
      <c r="N35" s="370"/>
      <c r="O35" s="370"/>
      <c r="P35" s="370"/>
      <c r="Q35" s="371"/>
    </row>
    <row r="36" spans="1:17" ht="24" customHeight="1">
      <c r="A36" s="384" t="s">
        <v>266</v>
      </c>
      <c r="B36" s="370"/>
      <c r="C36" s="370"/>
      <c r="D36" s="370"/>
      <c r="E36" s="370"/>
      <c r="F36" s="370"/>
      <c r="G36" s="370"/>
      <c r="H36" s="371"/>
      <c r="I36" s="385">
        <f>COUNTIF(RAW!$N$2323:$N$2453,"연결")</f>
        <v>12</v>
      </c>
      <c r="J36" s="370"/>
      <c r="K36" s="370"/>
      <c r="L36" s="371"/>
      <c r="M36" s="387" t="b">
        <f>I36=COUNTIF(RAW!$R$2323:$R$2453,"WRAP")</f>
        <v>1</v>
      </c>
      <c r="N36" s="370"/>
      <c r="O36" s="370"/>
      <c r="P36" s="370"/>
      <c r="Q36" s="371"/>
    </row>
    <row r="37" spans="1:17" ht="24" customHeight="1">
      <c r="A37" s="384" t="s">
        <v>267</v>
      </c>
      <c r="B37" s="370"/>
      <c r="C37" s="370"/>
      <c r="D37" s="370"/>
      <c r="E37" s="370"/>
      <c r="F37" s="370"/>
      <c r="G37" s="370"/>
      <c r="H37" s="371"/>
      <c r="I37" s="385">
        <f>COUNTIF(RAW!$N$2323:$N$2453,"누락")</f>
        <v>0</v>
      </c>
      <c r="J37" s="370"/>
      <c r="K37" s="370"/>
      <c r="L37" s="371"/>
      <c r="M37" s="387" t="b">
        <f>I37=0</f>
        <v>1</v>
      </c>
      <c r="N37" s="370"/>
      <c r="O37" s="370"/>
      <c r="P37" s="370"/>
      <c r="Q37" s="371"/>
    </row>
    <row r="38" spans="1:17" ht="24" customHeight="1">
      <c r="A38" s="384" t="s">
        <v>268</v>
      </c>
      <c r="B38" s="370"/>
      <c r="C38" s="370"/>
      <c r="D38" s="370"/>
      <c r="E38" s="370"/>
      <c r="F38" s="370"/>
      <c r="G38" s="370"/>
      <c r="H38" s="371"/>
      <c r="I38" s="385">
        <f>COUNTIF(RAW!$N$2323:$N$2453,"중복")</f>
        <v>0</v>
      </c>
      <c r="J38" s="370"/>
      <c r="K38" s="370"/>
      <c r="L38" s="371"/>
      <c r="M38" s="387" t="b">
        <f>I38=0</f>
        <v>1</v>
      </c>
      <c r="N38" s="370"/>
      <c r="O38" s="370"/>
      <c r="P38" s="370"/>
      <c r="Q38" s="371"/>
    </row>
    <row r="39" spans="1:17" ht="24" customHeight="1">
      <c r="A39" s="384" t="s">
        <v>269</v>
      </c>
      <c r="B39" s="370"/>
      <c r="C39" s="370"/>
      <c r="D39" s="370"/>
      <c r="E39" s="370"/>
      <c r="F39" s="370"/>
      <c r="G39" s="370"/>
      <c r="H39" s="371"/>
      <c r="I39" s="385">
        <f>SUMIF(잔액!$W$64:$W$500,2429,잔액!$E$64:$E$500)</f>
        <v>90410</v>
      </c>
      <c r="J39" s="370"/>
      <c r="K39" s="370"/>
      <c r="L39" s="371"/>
      <c r="M39" s="387" t="b">
        <f>I39=90410</f>
        <v>1</v>
      </c>
      <c r="N39" s="370"/>
      <c r="O39" s="370"/>
      <c r="P39" s="370"/>
      <c r="Q39" s="371"/>
    </row>
    <row r="40" spans="1:17" ht="24" customHeight="1">
      <c r="A40" s="384" t="s">
        <v>270</v>
      </c>
      <c r="B40" s="370"/>
      <c r="C40" s="370"/>
      <c r="D40" s="370"/>
      <c r="E40" s="370"/>
      <c r="F40" s="370"/>
      <c r="G40" s="370"/>
      <c r="H40" s="371"/>
      <c r="I40" s="385">
        <f>SUMIF(잔액!$W$64:$W$500,2430,잔액!$E$64:$E$500)</f>
        <v>1390</v>
      </c>
      <c r="J40" s="370"/>
      <c r="K40" s="370"/>
      <c r="L40" s="371"/>
      <c r="M40" s="387" t="b">
        <f>I40=1390</f>
        <v>1</v>
      </c>
      <c r="N40" s="370"/>
      <c r="O40" s="370"/>
      <c r="P40" s="370"/>
      <c r="Q40" s="371"/>
    </row>
    <row r="41" spans="1:17" ht="24" customHeight="1">
      <c r="A41" s="384" t="s">
        <v>271</v>
      </c>
      <c r="B41" s="370"/>
      <c r="C41" s="370"/>
      <c r="D41" s="370"/>
      <c r="E41" s="370"/>
      <c r="F41" s="370"/>
      <c r="G41" s="370"/>
      <c r="H41" s="371"/>
      <c r="I41" s="385">
        <f>COUNTIF(잔액!$W$64:$W$500,2441)</f>
        <v>0</v>
      </c>
      <c r="J41" s="370"/>
      <c r="K41" s="370"/>
      <c r="L41" s="371"/>
      <c r="M41" s="387" t="b">
        <f>I41=0</f>
        <v>1</v>
      </c>
      <c r="N41" s="370"/>
      <c r="O41" s="370"/>
      <c r="P41" s="370"/>
      <c r="Q41" s="371"/>
    </row>
    <row r="42" spans="1:17" ht="24" customHeight="1">
      <c r="A42" s="384" t="s">
        <v>272</v>
      </c>
      <c r="B42" s="370"/>
      <c r="C42" s="370"/>
      <c r="D42" s="370"/>
      <c r="E42" s="370"/>
      <c r="F42" s="370"/>
      <c r="G42" s="370"/>
      <c r="H42" s="371"/>
      <c r="I42" s="385">
        <f>'10월'!N66</f>
        <v>200000</v>
      </c>
      <c r="J42" s="370"/>
      <c r="K42" s="370"/>
      <c r="L42" s="371"/>
      <c r="M42" s="387" t="b">
        <f>I42=200000</f>
        <v>1</v>
      </c>
      <c r="N42" s="370"/>
      <c r="O42" s="370"/>
      <c r="P42" s="370"/>
      <c r="Q42" s="371"/>
    </row>
    <row r="43" spans="1:17" ht="24" customHeight="1">
      <c r="A43" s="384" t="s">
        <v>273</v>
      </c>
      <c r="B43" s="370"/>
      <c r="C43" s="370"/>
      <c r="D43" s="370"/>
      <c r="E43" s="370"/>
      <c r="F43" s="370"/>
      <c r="G43" s="370"/>
      <c r="H43" s="371"/>
      <c r="I43" s="385">
        <f>COUNTIF(잔액!$W$64:$W$500,2347)</f>
        <v>1</v>
      </c>
      <c r="J43" s="370"/>
      <c r="K43" s="370"/>
      <c r="L43" s="371"/>
      <c r="M43" s="387" t="b">
        <f>I43=1</f>
        <v>1</v>
      </c>
      <c r="N43" s="370"/>
      <c r="O43" s="370"/>
      <c r="P43" s="370"/>
      <c r="Q43" s="371"/>
    </row>
    <row r="44" spans="1:17" ht="24" customHeight="1">
      <c r="A44" s="384" t="s">
        <v>274</v>
      </c>
      <c r="B44" s="370"/>
      <c r="C44" s="370"/>
      <c r="D44" s="370"/>
      <c r="E44" s="370"/>
      <c r="F44" s="370"/>
      <c r="G44" s="370"/>
      <c r="H44" s="371"/>
      <c r="I44" s="385">
        <f>COUNTIF(잔액!$I$231:$I$242,"입력 확인")+COUNTIF(잔액!$I$231:$I$242,"WRAP 범위 확인")</f>
        <v>0</v>
      </c>
      <c r="J44" s="370"/>
      <c r="K44" s="370"/>
      <c r="L44" s="371"/>
      <c r="M44" s="387" t="b">
        <f>I44=0</f>
        <v>1</v>
      </c>
      <c r="N44" s="370"/>
      <c r="O44" s="370"/>
      <c r="P44" s="370"/>
      <c r="Q44" s="371"/>
    </row>
    <row r="46" spans="1:17" ht="22" customHeight="1">
      <c r="A46" s="392" t="s">
        <v>275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3"/>
      <c r="Q46" s="394"/>
    </row>
    <row r="47" spans="1:17" ht="22" customHeight="1">
      <c r="A47" s="395"/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7"/>
    </row>
    <row r="49" spans="1:17">
      <c r="A49" s="373" t="s">
        <v>276</v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7"/>
    </row>
    <row r="50" spans="1:17" ht="24" customHeight="1">
      <c r="A50" s="372" t="s">
        <v>277</v>
      </c>
      <c r="B50" s="366"/>
      <c r="C50" s="366"/>
      <c r="D50" s="366"/>
      <c r="E50" s="366"/>
      <c r="F50" s="366"/>
      <c r="G50" s="366"/>
      <c r="H50" s="367"/>
      <c r="I50" s="365">
        <f>COUNT(RAW!G2444:G2453)</f>
        <v>10</v>
      </c>
      <c r="J50" s="366"/>
      <c r="K50" s="366"/>
      <c r="L50" s="367"/>
      <c r="M50" s="368" t="b">
        <f>I50=10</f>
        <v>1</v>
      </c>
      <c r="N50" s="366"/>
      <c r="O50" s="366"/>
      <c r="P50" s="366"/>
      <c r="Q50" s="367"/>
    </row>
    <row r="51" spans="1:17" ht="24" customHeight="1">
      <c r="A51" s="372" t="s">
        <v>278</v>
      </c>
      <c r="B51" s="366"/>
      <c r="C51" s="366"/>
      <c r="D51" s="366"/>
      <c r="E51" s="366"/>
      <c r="F51" s="366"/>
      <c r="G51" s="366"/>
      <c r="H51" s="367"/>
      <c r="I51" s="365">
        <f>COUNTIF(RAW!H2444:H2453,"이체지출")</f>
        <v>7</v>
      </c>
      <c r="J51" s="366"/>
      <c r="K51" s="366"/>
      <c r="L51" s="367"/>
      <c r="M51" s="368" t="b">
        <f>I51=7</f>
        <v>1</v>
      </c>
      <c r="N51" s="366"/>
      <c r="O51" s="366"/>
      <c r="P51" s="366"/>
      <c r="Q51" s="367"/>
    </row>
    <row r="52" spans="1:17" ht="24" customHeight="1">
      <c r="A52" s="372" t="s">
        <v>279</v>
      </c>
      <c r="B52" s="366"/>
      <c r="C52" s="366"/>
      <c r="D52" s="366"/>
      <c r="E52" s="366"/>
      <c r="F52" s="366"/>
      <c r="G52" s="366"/>
      <c r="H52" s="367"/>
      <c r="I52" s="365">
        <f>SUMIF(RAW!H2444:H2453,"이체지출",RAW!G2444:G2453)</f>
        <v>3022549</v>
      </c>
      <c r="J52" s="366"/>
      <c r="K52" s="366"/>
      <c r="L52" s="367"/>
      <c r="M52" s="368" t="b">
        <f>I52=3022549</f>
        <v>1</v>
      </c>
      <c r="N52" s="366"/>
      <c r="O52" s="366"/>
      <c r="P52" s="366"/>
      <c r="Q52" s="367"/>
    </row>
    <row r="53" spans="1:17" ht="24" customHeight="1">
      <c r="A53" s="372" t="s">
        <v>280</v>
      </c>
      <c r="B53" s="366"/>
      <c r="C53" s="366"/>
      <c r="D53" s="366"/>
      <c r="E53" s="366"/>
      <c r="F53" s="366"/>
      <c r="G53" s="366"/>
      <c r="H53" s="367"/>
      <c r="I53" s="365">
        <f>SUMIFS(잔액!$Y$64:$Y$500,잔액!$B$64:$B$500,"계좌이체",잔액!$D$64:$D$500,"생활비",잔액!$A$64:$A$500,"&gt;="&amp;DATE(2026,10,13))-SUMIFS(잔액!$Y$64:$Y$500,잔액!$B$64:$B$500,"계좌이체",잔액!$C$64:$C$500,"생활비",잔액!$A$64:$A$500,"&gt;="&amp;DATE(2026,10,13))</f>
        <v>-1769529</v>
      </c>
      <c r="J53" s="366"/>
      <c r="K53" s="366"/>
      <c r="L53" s="367"/>
      <c r="M53" s="368" t="b">
        <f>I53=-1769529</f>
        <v>1</v>
      </c>
      <c r="N53" s="366"/>
      <c r="O53" s="366"/>
      <c r="P53" s="366"/>
      <c r="Q53" s="367"/>
    </row>
    <row r="54" spans="1:17" ht="24" customHeight="1">
      <c r="A54" s="372" t="s">
        <v>281</v>
      </c>
      <c r="B54" s="366"/>
      <c r="C54" s="366"/>
      <c r="D54" s="366"/>
      <c r="E54" s="366"/>
      <c r="F54" s="366"/>
      <c r="G54" s="366"/>
      <c r="H54" s="367"/>
      <c r="I54" s="365">
        <f>'10월'!Q13</f>
        <v>90410</v>
      </c>
      <c r="J54" s="366"/>
      <c r="K54" s="366"/>
      <c r="L54" s="367"/>
      <c r="M54" s="368" t="b">
        <f>I54=90410</f>
        <v>1</v>
      </c>
      <c r="N54" s="366"/>
      <c r="O54" s="366"/>
      <c r="P54" s="366"/>
      <c r="Q54" s="367"/>
    </row>
    <row r="55" spans="1:17" ht="24" customHeight="1">
      <c r="A55" s="372" t="s">
        <v>282</v>
      </c>
      <c r="B55" s="366"/>
      <c r="C55" s="366"/>
      <c r="D55" s="366"/>
      <c r="E55" s="366"/>
      <c r="F55" s="366"/>
      <c r="G55" s="366"/>
      <c r="H55" s="367"/>
      <c r="I55" s="365">
        <f>'10월'!C15</f>
        <v>4500</v>
      </c>
      <c r="J55" s="366"/>
      <c r="K55" s="366"/>
      <c r="L55" s="367"/>
      <c r="M55" s="368" t="b">
        <f>I55=4500</f>
        <v>1</v>
      </c>
      <c r="N55" s="366"/>
      <c r="O55" s="366"/>
      <c r="P55" s="366"/>
      <c r="Q55" s="367"/>
    </row>
    <row r="56" spans="1:17" ht="24" customHeight="1">
      <c r="A56" s="372" t="s">
        <v>283</v>
      </c>
      <c r="B56" s="366"/>
      <c r="C56" s="366"/>
      <c r="D56" s="366"/>
      <c r="E56" s="366"/>
      <c r="F56" s="366"/>
      <c r="G56" s="366"/>
      <c r="H56" s="367"/>
      <c r="I56" s="365">
        <f>'10월'!C14</f>
        <v>5000</v>
      </c>
      <c r="J56" s="366"/>
      <c r="K56" s="366"/>
      <c r="L56" s="367"/>
      <c r="M56" s="368" t="b">
        <f>I56=5000</f>
        <v>1</v>
      </c>
      <c r="N56" s="366"/>
      <c r="O56" s="366"/>
      <c r="P56" s="366"/>
      <c r="Q56" s="367"/>
    </row>
    <row r="57" spans="1:17" ht="24" customHeight="1">
      <c r="A57" s="372" t="s">
        <v>284</v>
      </c>
      <c r="B57" s="366"/>
      <c r="C57" s="366"/>
      <c r="D57" s="366"/>
      <c r="E57" s="366"/>
      <c r="F57" s="366"/>
      <c r="G57" s="366"/>
      <c r="H57" s="367"/>
      <c r="I57" s="365">
        <f>'10월계산기'!W13-'10월'!I38</f>
        <v>0</v>
      </c>
      <c r="J57" s="366"/>
      <c r="K57" s="366"/>
      <c r="L57" s="367"/>
      <c r="M57" s="368" t="b">
        <f>I57=0</f>
        <v>1</v>
      </c>
      <c r="N57" s="366"/>
      <c r="O57" s="366"/>
      <c r="P57" s="366"/>
      <c r="Q57" s="367"/>
    </row>
    <row r="59" spans="1:17" ht="22" customHeight="1">
      <c r="A59" s="374" t="s">
        <v>285</v>
      </c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6"/>
    </row>
    <row r="60" spans="1:17" ht="22" customHeight="1">
      <c r="A60" s="377"/>
      <c r="B60" s="378"/>
      <c r="C60" s="378"/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9"/>
    </row>
    <row r="62" spans="1:17">
      <c r="A62" s="373" t="s">
        <v>286</v>
      </c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7"/>
    </row>
    <row r="63" spans="1:17" ht="24" customHeight="1">
      <c r="A63" s="372" t="s">
        <v>287</v>
      </c>
      <c r="B63" s="366"/>
      <c r="C63" s="366"/>
      <c r="D63" s="366"/>
      <c r="E63" s="366"/>
      <c r="F63" s="366"/>
      <c r="G63" s="366"/>
      <c r="H63" s="367"/>
      <c r="I63" s="365">
        <f>COUNT(RAW!G2323:G2453)</f>
        <v>131</v>
      </c>
      <c r="J63" s="366"/>
      <c r="K63" s="366"/>
      <c r="L63" s="367"/>
      <c r="M63" s="368" t="b">
        <f>I63=131</f>
        <v>1</v>
      </c>
      <c r="N63" s="366"/>
      <c r="O63" s="366"/>
      <c r="P63" s="366"/>
      <c r="Q63" s="367"/>
    </row>
    <row r="64" spans="1:17" ht="24" customHeight="1">
      <c r="A64" s="372" t="s">
        <v>288</v>
      </c>
      <c r="B64" s="366"/>
      <c r="C64" s="366"/>
      <c r="D64" s="366"/>
      <c r="E64" s="366"/>
      <c r="F64" s="366"/>
      <c r="G64" s="366"/>
      <c r="H64" s="367"/>
      <c r="I64" s="365">
        <f>COUNTIF(RAW!R2323:R2453,"WRAP")</f>
        <v>12</v>
      </c>
      <c r="J64" s="366"/>
      <c r="K64" s="366"/>
      <c r="L64" s="367"/>
      <c r="M64" s="368" t="b">
        <f>I64=12</f>
        <v>1</v>
      </c>
      <c r="N64" s="366"/>
      <c r="O64" s="366"/>
      <c r="P64" s="366"/>
      <c r="Q64" s="367"/>
    </row>
    <row r="65" spans="1:25" ht="24" customHeight="1">
      <c r="A65" s="372" t="s">
        <v>289</v>
      </c>
      <c r="B65" s="366"/>
      <c r="C65" s="366"/>
      <c r="D65" s="366"/>
      <c r="E65" s="366"/>
      <c r="F65" s="366"/>
      <c r="G65" s="366"/>
      <c r="H65" s="367"/>
      <c r="I65" s="365">
        <f>COUNTIF(RAW!R2323:R2453,"타계좌")</f>
        <v>40</v>
      </c>
      <c r="J65" s="366"/>
      <c r="K65" s="366"/>
      <c r="L65" s="367"/>
      <c r="M65" s="368" t="b">
        <f>I65=40</f>
        <v>1</v>
      </c>
      <c r="N65" s="366"/>
      <c r="O65" s="366"/>
      <c r="P65" s="366"/>
      <c r="Q65" s="367"/>
    </row>
    <row r="66" spans="1:25" ht="24" customHeight="1">
      <c r="A66" s="372" t="s">
        <v>290</v>
      </c>
      <c r="B66" s="366"/>
      <c r="C66" s="366"/>
      <c r="D66" s="366"/>
      <c r="E66" s="366"/>
      <c r="F66" s="366"/>
      <c r="G66" s="366"/>
      <c r="H66" s="367"/>
      <c r="I66" s="365">
        <f>COUNTIF(RAW!N2323:N2453,"연결")</f>
        <v>12</v>
      </c>
      <c r="J66" s="366"/>
      <c r="K66" s="366"/>
      <c r="L66" s="367"/>
      <c r="M66" s="368" t="b">
        <f>I66=12</f>
        <v>1</v>
      </c>
      <c r="N66" s="366"/>
      <c r="O66" s="366"/>
      <c r="P66" s="366"/>
      <c r="Q66" s="367"/>
    </row>
    <row r="67" spans="1:25" ht="24" customHeight="1">
      <c r="A67" s="372" t="s">
        <v>291</v>
      </c>
      <c r="B67" s="366"/>
      <c r="C67" s="366"/>
      <c r="D67" s="366"/>
      <c r="E67" s="366"/>
      <c r="F67" s="366"/>
      <c r="G67" s="366"/>
      <c r="H67" s="367"/>
      <c r="I67" s="365">
        <f>COUNTIF(잔액!$J$64:$J$500,"KB쿠팡와우")+COUNTIF(잔액!$J$64:$J$500,"MG+S 하나카드")+COUNTIF(잔액!$J$64:$J$500,"롯데365카드")+COUNTIF(잔액!$J$64:$J$500,"현대네이버카드")</f>
        <v>0</v>
      </c>
      <c r="J67" s="366"/>
      <c r="K67" s="366"/>
      <c r="L67" s="367"/>
      <c r="M67" s="368" t="b">
        <f>I67=0</f>
        <v>1</v>
      </c>
      <c r="N67" s="366"/>
      <c r="O67" s="366"/>
      <c r="P67" s="366"/>
      <c r="Q67" s="367"/>
    </row>
    <row r="68" spans="1:25" ht="24" customHeight="1">
      <c r="A68" s="372" t="s">
        <v>292</v>
      </c>
      <c r="B68" s="366"/>
      <c r="C68" s="366"/>
      <c r="D68" s="366"/>
      <c r="E68" s="366"/>
      <c r="F68" s="366"/>
      <c r="G68" s="366"/>
      <c r="H68" s="367"/>
      <c r="I68" s="365">
        <f>COUNTIF(RAW!N2323:N2453,"누락")</f>
        <v>0</v>
      </c>
      <c r="J68" s="366"/>
      <c r="K68" s="366"/>
      <c r="L68" s="367"/>
      <c r="M68" s="368" t="b">
        <f>I68=0</f>
        <v>1</v>
      </c>
      <c r="N68" s="366"/>
      <c r="O68" s="366"/>
      <c r="P68" s="366"/>
      <c r="Q68" s="367"/>
    </row>
    <row r="69" spans="1:25" ht="24" customHeight="1">
      <c r="A69" s="372" t="s">
        <v>293</v>
      </c>
      <c r="B69" s="366"/>
      <c r="C69" s="366"/>
      <c r="D69" s="366"/>
      <c r="E69" s="366"/>
      <c r="F69" s="366"/>
      <c r="G69" s="366"/>
      <c r="H69" s="367"/>
      <c r="I69" s="365">
        <f>COUNTIF(RAW!N2323:N2453,"중복")</f>
        <v>0</v>
      </c>
      <c r="J69" s="366"/>
      <c r="K69" s="366"/>
      <c r="L69" s="367"/>
      <c r="M69" s="368" t="b">
        <f>I69=0</f>
        <v>1</v>
      </c>
      <c r="N69" s="366"/>
      <c r="O69" s="366"/>
      <c r="P69" s="366"/>
      <c r="Q69" s="367"/>
    </row>
    <row r="70" spans="1:25" ht="24" customHeight="1">
      <c r="A70" s="372" t="s">
        <v>294</v>
      </c>
      <c r="B70" s="366"/>
      <c r="C70" s="366"/>
      <c r="D70" s="366"/>
      <c r="E70" s="366"/>
      <c r="F70" s="366"/>
      <c r="G70" s="366"/>
      <c r="H70" s="367"/>
      <c r="I70" s="365">
        <f>COUNT(잔액!W231:W242)</f>
        <v>12</v>
      </c>
      <c r="J70" s="366"/>
      <c r="K70" s="366"/>
      <c r="L70" s="367"/>
      <c r="M70" s="368" t="b">
        <f>I70=12</f>
        <v>1</v>
      </c>
      <c r="N70" s="366"/>
      <c r="O70" s="366"/>
      <c r="P70" s="366"/>
      <c r="Q70" s="367"/>
    </row>
    <row r="72" spans="1:25" ht="22" customHeight="1">
      <c r="A72" s="374" t="s">
        <v>295</v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6"/>
    </row>
    <row r="73" spans="1:25" ht="22" customHeight="1">
      <c r="A73" s="377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  <c r="M73" s="378"/>
      <c r="N73" s="378"/>
      <c r="O73" s="378"/>
      <c r="P73" s="378"/>
      <c r="Q73" s="379"/>
    </row>
    <row r="75" spans="1:25">
      <c r="A75" s="373" t="s">
        <v>296</v>
      </c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7"/>
    </row>
    <row r="76" spans="1:25">
      <c r="A76" s="388" t="s">
        <v>297</v>
      </c>
      <c r="B76" s="370"/>
      <c r="C76" s="370"/>
      <c r="D76" s="371"/>
      <c r="E76" s="119" t="s">
        <v>298</v>
      </c>
      <c r="F76" s="119" t="s">
        <v>299</v>
      </c>
      <c r="G76" s="119" t="s">
        <v>300</v>
      </c>
      <c r="H76" s="119" t="s">
        <v>301</v>
      </c>
      <c r="I76" s="119" t="s">
        <v>302</v>
      </c>
      <c r="J76" s="119" t="s">
        <v>303</v>
      </c>
      <c r="K76" s="119" t="s">
        <v>304</v>
      </c>
      <c r="M76" s="388" t="s">
        <v>305</v>
      </c>
      <c r="N76" s="370"/>
      <c r="O76" s="370"/>
      <c r="P76" s="370"/>
      <c r="Q76" s="371"/>
      <c r="S76" t="s">
        <v>306</v>
      </c>
      <c r="T76" t="s">
        <v>307</v>
      </c>
      <c r="U76" t="s">
        <v>308</v>
      </c>
      <c r="V76" t="s">
        <v>309</v>
      </c>
      <c r="W76" t="s">
        <v>310</v>
      </c>
      <c r="X76" t="s">
        <v>311</v>
      </c>
      <c r="Y76" t="s">
        <v>312</v>
      </c>
    </row>
    <row r="77" spans="1:25" ht="25" customHeight="1">
      <c r="A77" s="372" t="s">
        <v>15</v>
      </c>
      <c r="B77" s="366"/>
      <c r="C77" s="366"/>
      <c r="D77" s="367"/>
      <c r="E77" s="325" t="b">
        <f>잔액!C22=S77</f>
        <v>1</v>
      </c>
      <c r="F77" s="325" t="b">
        <f>잔액!D22=T77</f>
        <v>1</v>
      </c>
      <c r="G77" s="325" t="b">
        <f>잔액!E22=U77</f>
        <v>1</v>
      </c>
      <c r="H77" s="325" t="b">
        <f>잔액!F22=V77</f>
        <v>1</v>
      </c>
      <c r="I77" s="325" t="b">
        <f>잔액!G22=W77</f>
        <v>1</v>
      </c>
      <c r="J77" s="325" t="b">
        <f>잔액!H22=X77</f>
        <v>1</v>
      </c>
      <c r="K77" s="325" t="b">
        <f>잔액!I22=Y77</f>
        <v>1</v>
      </c>
      <c r="M77" s="368" t="b">
        <f t="shared" ref="M77:M85" si="4">COUNTIF(E77:K77,TRUE)=7</f>
        <v>1</v>
      </c>
      <c r="N77" s="366"/>
      <c r="O77" s="366"/>
      <c r="P77" s="366"/>
      <c r="Q77" s="367"/>
      <c r="S77" s="324">
        <v>993611</v>
      </c>
      <c r="T77" s="324">
        <v>944667</v>
      </c>
      <c r="U77" s="324">
        <v>1062089</v>
      </c>
      <c r="V77" s="324">
        <v>626802</v>
      </c>
      <c r="W77" s="324">
        <v>-498498</v>
      </c>
      <c r="X77" s="324">
        <v>0</v>
      </c>
      <c r="Y77" s="324">
        <v>6388603</v>
      </c>
    </row>
    <row r="78" spans="1:25" ht="25" customHeight="1">
      <c r="A78" s="372" t="s">
        <v>16</v>
      </c>
      <c r="B78" s="366"/>
      <c r="C78" s="366"/>
      <c r="D78" s="367"/>
      <c r="E78" s="325" t="b">
        <f>잔액!C23=S78</f>
        <v>1</v>
      </c>
      <c r="F78" s="325" t="b">
        <f>잔액!D23=T78</f>
        <v>1</v>
      </c>
      <c r="G78" s="325" t="b">
        <f>잔액!E23=U78</f>
        <v>1</v>
      </c>
      <c r="H78" s="325" t="b">
        <f>잔액!F23=V78</f>
        <v>1</v>
      </c>
      <c r="I78" s="325" t="b">
        <f>잔액!G23=W78</f>
        <v>1</v>
      </c>
      <c r="J78" s="325" t="b">
        <f>잔액!H23=X78</f>
        <v>1</v>
      </c>
      <c r="K78" s="325" t="b">
        <f>잔액!I23=Y78</f>
        <v>1</v>
      </c>
      <c r="M78" s="368" t="b">
        <f t="shared" si="4"/>
        <v>1</v>
      </c>
      <c r="N78" s="366"/>
      <c r="O78" s="366"/>
      <c r="P78" s="366"/>
      <c r="Q78" s="367"/>
      <c r="S78" s="324">
        <v>100000</v>
      </c>
      <c r="T78" s="324">
        <v>200000</v>
      </c>
      <c r="U78" s="324">
        <v>50000</v>
      </c>
      <c r="V78" s="324">
        <v>100000</v>
      </c>
      <c r="W78" s="324">
        <v>200000</v>
      </c>
      <c r="X78" s="324">
        <v>300000</v>
      </c>
      <c r="Y78" s="324">
        <v>0</v>
      </c>
    </row>
    <row r="79" spans="1:25" ht="25" customHeight="1">
      <c r="A79" s="372" t="s">
        <v>17</v>
      </c>
      <c r="B79" s="366"/>
      <c r="C79" s="366"/>
      <c r="D79" s="367"/>
      <c r="E79" s="325" t="b">
        <f>잔액!C24=S79</f>
        <v>1</v>
      </c>
      <c r="F79" s="325" t="b">
        <f>잔액!D24=T79</f>
        <v>1</v>
      </c>
      <c r="G79" s="325" t="b">
        <f>잔액!E24=U79</f>
        <v>1</v>
      </c>
      <c r="H79" s="325" t="b">
        <f>잔액!F24=V79</f>
        <v>1</v>
      </c>
      <c r="I79" s="325" t="b">
        <f>잔액!G24=W79</f>
        <v>1</v>
      </c>
      <c r="J79" s="325" t="b">
        <f>잔액!H24=X79</f>
        <v>1</v>
      </c>
      <c r="K79" s="325" t="b">
        <f>잔액!I24=Y79</f>
        <v>1</v>
      </c>
      <c r="M79" s="368" t="b">
        <f t="shared" si="4"/>
        <v>1</v>
      </c>
      <c r="N79" s="366"/>
      <c r="O79" s="366"/>
      <c r="P79" s="366"/>
      <c r="Q79" s="367"/>
      <c r="S79" s="324">
        <v>1300000</v>
      </c>
      <c r="T79" s="324">
        <v>1400000</v>
      </c>
      <c r="U79" s="324">
        <v>1500000</v>
      </c>
      <c r="V79" s="324">
        <v>1600000</v>
      </c>
      <c r="W79" s="324">
        <v>1600000</v>
      </c>
      <c r="X79" s="324">
        <v>1300000</v>
      </c>
      <c r="Y79" s="324">
        <v>1400000</v>
      </c>
    </row>
    <row r="80" spans="1:25" ht="25" customHeight="1">
      <c r="A80" s="372" t="s">
        <v>18</v>
      </c>
      <c r="B80" s="366"/>
      <c r="C80" s="366"/>
      <c r="D80" s="367"/>
      <c r="E80" s="325" t="b">
        <f>잔액!C25=S80</f>
        <v>1</v>
      </c>
      <c r="F80" s="325" t="b">
        <f>잔액!D25=T80</f>
        <v>1</v>
      </c>
      <c r="G80" s="325" t="b">
        <f>잔액!E25=U80</f>
        <v>1</v>
      </c>
      <c r="H80" s="325" t="b">
        <f>잔액!F25=V80</f>
        <v>1</v>
      </c>
      <c r="I80" s="325" t="b">
        <f>잔액!G25=W80</f>
        <v>1</v>
      </c>
      <c r="J80" s="325" t="b">
        <f>잔액!H25=X80</f>
        <v>1</v>
      </c>
      <c r="K80" s="325" t="b">
        <f>잔액!I25=Y80</f>
        <v>1</v>
      </c>
      <c r="M80" s="368" t="b">
        <f t="shared" si="4"/>
        <v>1</v>
      </c>
      <c r="N80" s="366"/>
      <c r="O80" s="366"/>
      <c r="P80" s="366"/>
      <c r="Q80" s="367"/>
      <c r="S80" s="324">
        <v>0</v>
      </c>
      <c r="T80" s="324">
        <v>0</v>
      </c>
      <c r="U80" s="324">
        <v>50000</v>
      </c>
      <c r="V80" s="324">
        <v>100000</v>
      </c>
      <c r="W80" s="324">
        <v>150000</v>
      </c>
      <c r="X80" s="324">
        <v>200000</v>
      </c>
      <c r="Y80" s="324">
        <v>450000</v>
      </c>
    </row>
    <row r="81" spans="1:25" ht="25" customHeight="1">
      <c r="A81" s="372" t="s">
        <v>19</v>
      </c>
      <c r="B81" s="366"/>
      <c r="C81" s="366"/>
      <c r="D81" s="367"/>
      <c r="E81" s="325" t="b">
        <f>잔액!C26=S81</f>
        <v>1</v>
      </c>
      <c r="F81" s="325" t="b">
        <f>잔액!D26=T81</f>
        <v>1</v>
      </c>
      <c r="G81" s="325" t="b">
        <f>잔액!E26=U81</f>
        <v>1</v>
      </c>
      <c r="H81" s="325" t="b">
        <f>잔액!F26=V81</f>
        <v>1</v>
      </c>
      <c r="I81" s="325" t="b">
        <f>잔액!G26=W81</f>
        <v>1</v>
      </c>
      <c r="J81" s="325" t="b">
        <f>잔액!H26=X81</f>
        <v>1</v>
      </c>
      <c r="K81" s="325" t="b">
        <f>잔액!I26=Y81</f>
        <v>1</v>
      </c>
      <c r="M81" s="368" t="b">
        <f t="shared" si="4"/>
        <v>1</v>
      </c>
      <c r="N81" s="366"/>
      <c r="O81" s="366"/>
      <c r="P81" s="366"/>
      <c r="Q81" s="367"/>
      <c r="S81" s="324">
        <v>350000</v>
      </c>
      <c r="T81" s="324">
        <v>350000</v>
      </c>
      <c r="U81" s="324">
        <v>0</v>
      </c>
      <c r="V81" s="324">
        <v>0</v>
      </c>
      <c r="W81" s="324">
        <v>100000</v>
      </c>
      <c r="X81" s="324">
        <v>200000</v>
      </c>
      <c r="Y81" s="324">
        <v>300000</v>
      </c>
    </row>
    <row r="82" spans="1:25" ht="25" customHeight="1">
      <c r="A82" s="372" t="s">
        <v>20</v>
      </c>
      <c r="B82" s="366"/>
      <c r="C82" s="366"/>
      <c r="D82" s="367"/>
      <c r="E82" s="325" t="b">
        <f>잔액!C27=S82</f>
        <v>1</v>
      </c>
      <c r="F82" s="325" t="b">
        <f>잔액!D27=T82</f>
        <v>1</v>
      </c>
      <c r="G82" s="325" t="b">
        <f>잔액!E27=U82</f>
        <v>1</v>
      </c>
      <c r="H82" s="325" t="b">
        <f>잔액!F27=V82</f>
        <v>1</v>
      </c>
      <c r="I82" s="325" t="b">
        <f>잔액!G27=W82</f>
        <v>1</v>
      </c>
      <c r="J82" s="325" t="b">
        <f>잔액!H27=X82</f>
        <v>1</v>
      </c>
      <c r="K82" s="325" t="b">
        <f>잔액!I27=Y82</f>
        <v>1</v>
      </c>
      <c r="M82" s="368" t="b">
        <f t="shared" si="4"/>
        <v>1</v>
      </c>
      <c r="N82" s="366"/>
      <c r="O82" s="366"/>
      <c r="P82" s="366"/>
      <c r="Q82" s="367"/>
      <c r="S82" s="324">
        <v>0</v>
      </c>
      <c r="T82" s="324">
        <v>0</v>
      </c>
      <c r="U82" s="324">
        <v>0</v>
      </c>
      <c r="V82" s="324">
        <v>0</v>
      </c>
      <c r="W82" s="324">
        <v>0</v>
      </c>
      <c r="X82" s="324">
        <v>0</v>
      </c>
      <c r="Y82" s="324">
        <v>0</v>
      </c>
    </row>
    <row r="83" spans="1:25" ht="25" customHeight="1">
      <c r="A83" s="372" t="s">
        <v>21</v>
      </c>
      <c r="B83" s="366"/>
      <c r="C83" s="366"/>
      <c r="D83" s="367"/>
      <c r="E83" s="325" t="b">
        <f>잔액!C28=S83</f>
        <v>1</v>
      </c>
      <c r="F83" s="325" t="b">
        <f>잔액!D28=T83</f>
        <v>1</v>
      </c>
      <c r="G83" s="325" t="b">
        <f>잔액!E28=U83</f>
        <v>1</v>
      </c>
      <c r="H83" s="325" t="b">
        <f>잔액!F28=V83</f>
        <v>1</v>
      </c>
      <c r="I83" s="325" t="b">
        <f>잔액!G28=W83</f>
        <v>1</v>
      </c>
      <c r="J83" s="325" t="b">
        <f>잔액!H28=X83</f>
        <v>1</v>
      </c>
      <c r="K83" s="325" t="b">
        <f>잔액!I28=Y83</f>
        <v>1</v>
      </c>
      <c r="M83" s="368" t="b">
        <f t="shared" si="4"/>
        <v>1</v>
      </c>
      <c r="N83" s="366"/>
      <c r="O83" s="366"/>
      <c r="P83" s="366"/>
      <c r="Q83" s="367"/>
      <c r="S83" s="324">
        <v>21500</v>
      </c>
      <c r="T83" s="324">
        <v>0</v>
      </c>
      <c r="U83" s="324">
        <v>0</v>
      </c>
      <c r="V83" s="324">
        <v>0</v>
      </c>
      <c r="W83" s="324">
        <v>0</v>
      </c>
      <c r="X83" s="324">
        <v>0</v>
      </c>
      <c r="Y83" s="324">
        <v>0</v>
      </c>
    </row>
    <row r="84" spans="1:25" ht="25" customHeight="1">
      <c r="A84" s="372" t="s">
        <v>22</v>
      </c>
      <c r="B84" s="366"/>
      <c r="C84" s="366"/>
      <c r="D84" s="367"/>
      <c r="E84" s="325" t="b">
        <f>잔액!C29=S84</f>
        <v>1</v>
      </c>
      <c r="F84" s="325" t="b">
        <f>잔액!D29=T84</f>
        <v>1</v>
      </c>
      <c r="G84" s="325" t="b">
        <f>잔액!E29=U84</f>
        <v>1</v>
      </c>
      <c r="H84" s="325" t="b">
        <f>잔액!F29=V84</f>
        <v>1</v>
      </c>
      <c r="I84" s="325" t="b">
        <f>잔액!G29=W84</f>
        <v>1</v>
      </c>
      <c r="J84" s="325" t="b">
        <f>잔액!H29=X84</f>
        <v>1</v>
      </c>
      <c r="K84" s="325" t="b">
        <f>잔액!I29=Y84</f>
        <v>1</v>
      </c>
      <c r="M84" s="368" t="b">
        <f t="shared" si="4"/>
        <v>1</v>
      </c>
      <c r="N84" s="366"/>
      <c r="O84" s="366"/>
      <c r="P84" s="366"/>
      <c r="Q84" s="367"/>
      <c r="S84" s="324">
        <v>0</v>
      </c>
      <c r="T84" s="324">
        <v>2151</v>
      </c>
      <c r="U84" s="324">
        <v>1137</v>
      </c>
      <c r="V84" s="324">
        <v>4897</v>
      </c>
      <c r="W84" s="324">
        <v>27858</v>
      </c>
      <c r="X84" s="324">
        <v>0</v>
      </c>
      <c r="Y84" s="324">
        <v>0</v>
      </c>
    </row>
    <row r="85" spans="1:25" ht="25" customHeight="1">
      <c r="A85" s="372" t="s">
        <v>23</v>
      </c>
      <c r="B85" s="366"/>
      <c r="C85" s="366"/>
      <c r="D85" s="367"/>
      <c r="E85" s="325" t="b">
        <f>잔액!C30=S85</f>
        <v>1</v>
      </c>
      <c r="F85" s="325" t="b">
        <f>잔액!D30=T85</f>
        <v>1</v>
      </c>
      <c r="G85" s="325" t="b">
        <f>잔액!E30=U85</f>
        <v>1</v>
      </c>
      <c r="H85" s="325" t="b">
        <f>잔액!F30=V85</f>
        <v>1</v>
      </c>
      <c r="I85" s="325" t="b">
        <f>잔액!G30=W85</f>
        <v>1</v>
      </c>
      <c r="J85" s="325" t="b">
        <f>잔액!H30=X85</f>
        <v>1</v>
      </c>
      <c r="K85" s="325" t="b">
        <f>잔액!I30=Y85</f>
        <v>1</v>
      </c>
      <c r="M85" s="368" t="b">
        <f t="shared" si="4"/>
        <v>1</v>
      </c>
      <c r="N85" s="366"/>
      <c r="O85" s="366"/>
      <c r="P85" s="366"/>
      <c r="Q85" s="367"/>
      <c r="S85" s="324">
        <v>2042224</v>
      </c>
      <c r="T85" s="324">
        <v>2548910</v>
      </c>
      <c r="U85" s="324">
        <v>2042174</v>
      </c>
      <c r="V85" s="324">
        <v>6188750</v>
      </c>
      <c r="W85" s="324">
        <v>11338850</v>
      </c>
      <c r="X85" s="324">
        <v>9495719</v>
      </c>
      <c r="Y85" s="324">
        <v>0</v>
      </c>
    </row>
    <row r="87" spans="1:25" ht="25" customHeight="1">
      <c r="A87" s="372" t="s">
        <v>313</v>
      </c>
      <c r="B87" s="366"/>
      <c r="C87" s="366"/>
      <c r="D87" s="366"/>
      <c r="E87" s="366"/>
      <c r="F87" s="366"/>
      <c r="G87" s="366"/>
      <c r="H87" s="367"/>
      <c r="I87" s="365">
        <f>SUMIFS(잔액!E64:E500,잔액!B64:B500,"이체",잔액!C64:C500,"명절비",잔액!D64:D500,"경조사비",잔액!H64:H500,DATE(2026,9,1))</f>
        <v>100000</v>
      </c>
      <c r="J87" s="366"/>
      <c r="K87" s="366"/>
      <c r="L87" s="367"/>
      <c r="M87" s="368" t="b">
        <f>I87=100000</f>
        <v>1</v>
      </c>
      <c r="N87" s="366"/>
      <c r="O87" s="366"/>
      <c r="P87" s="366"/>
      <c r="Q87" s="367"/>
    </row>
    <row r="88" spans="1:25" ht="25" customHeight="1">
      <c r="A88" s="372" t="s">
        <v>314</v>
      </c>
      <c r="B88" s="366"/>
      <c r="C88" s="366"/>
      <c r="D88" s="366"/>
      <c r="E88" s="366"/>
      <c r="F88" s="366"/>
      <c r="G88" s="366"/>
      <c r="H88" s="367"/>
      <c r="I88" s="365">
        <f>잔액!C28</f>
        <v>21500</v>
      </c>
      <c r="J88" s="366"/>
      <c r="K88" s="366"/>
      <c r="L88" s="367"/>
      <c r="M88" s="368" t="b">
        <f>I88=21500</f>
        <v>1</v>
      </c>
      <c r="N88" s="366"/>
      <c r="O88" s="366"/>
      <c r="P88" s="366"/>
      <c r="Q88" s="367"/>
    </row>
    <row r="89" spans="1:25" ht="25" customHeight="1">
      <c r="A89" s="372" t="s">
        <v>315</v>
      </c>
      <c r="B89" s="366"/>
      <c r="C89" s="366"/>
      <c r="D89" s="366"/>
      <c r="E89" s="366"/>
      <c r="F89" s="366"/>
      <c r="G89" s="366"/>
      <c r="H89" s="367"/>
      <c r="I89" s="365">
        <f>SUMIFS(잔액!E64:E500,잔액!B64:B500,"이체",잔액!C64:C500,"명절비",잔액!K64:K500,"가족통장",잔액!H64:H500,DATE(2026,9,1))</f>
        <v>200000</v>
      </c>
      <c r="J89" s="366"/>
      <c r="K89" s="366"/>
      <c r="L89" s="367"/>
      <c r="M89" s="368" t="b">
        <f>I89=200000</f>
        <v>1</v>
      </c>
      <c r="N89" s="366"/>
      <c r="O89" s="366"/>
      <c r="P89" s="366"/>
      <c r="Q89" s="367"/>
    </row>
    <row r="90" spans="1:25" ht="25" customHeight="1">
      <c r="A90" s="372" t="s">
        <v>316</v>
      </c>
      <c r="B90" s="366"/>
      <c r="C90" s="366"/>
      <c r="D90" s="366"/>
      <c r="E90" s="366"/>
      <c r="F90" s="366"/>
      <c r="G90" s="366"/>
      <c r="H90" s="367"/>
      <c r="I90" s="365">
        <f>'10월'!N66</f>
        <v>200000</v>
      </c>
      <c r="J90" s="366"/>
      <c r="K90" s="366"/>
      <c r="L90" s="367"/>
      <c r="M90" s="368" t="b">
        <f>I90=200000</f>
        <v>1</v>
      </c>
      <c r="N90" s="366"/>
      <c r="O90" s="366"/>
      <c r="P90" s="366"/>
      <c r="Q90" s="367"/>
    </row>
    <row r="91" spans="1:25" ht="25" customHeight="1">
      <c r="A91" s="372" t="s">
        <v>317</v>
      </c>
      <c r="B91" s="366"/>
      <c r="C91" s="366"/>
      <c r="D91" s="366"/>
      <c r="E91" s="366"/>
      <c r="F91" s="366"/>
      <c r="G91" s="366"/>
      <c r="H91" s="367"/>
      <c r="I91" s="365">
        <f>'10월'!N69</f>
        <v>200000</v>
      </c>
      <c r="J91" s="366"/>
      <c r="K91" s="366"/>
      <c r="L91" s="367"/>
      <c r="M91" s="368" t="b">
        <f>I91=200000</f>
        <v>1</v>
      </c>
      <c r="N91" s="366"/>
      <c r="O91" s="366"/>
      <c r="P91" s="366"/>
      <c r="Q91" s="367"/>
    </row>
    <row r="92" spans="1:25" ht="25" customHeight="1">
      <c r="A92" s="372" t="s">
        <v>318</v>
      </c>
      <c r="B92" s="366"/>
      <c r="C92" s="366"/>
      <c r="D92" s="366"/>
      <c r="E92" s="366"/>
      <c r="F92" s="366"/>
      <c r="G92" s="366"/>
      <c r="H92" s="367"/>
      <c r="I92" s="365">
        <f>잔액!I32</f>
        <v>8538603</v>
      </c>
      <c r="J92" s="366"/>
      <c r="K92" s="366"/>
      <c r="L92" s="367"/>
      <c r="M92" s="368" t="b">
        <f>I92=8538603</f>
        <v>1</v>
      </c>
      <c r="N92" s="366"/>
      <c r="O92" s="366"/>
      <c r="P92" s="366"/>
      <c r="Q92" s="367"/>
    </row>
    <row r="94" spans="1:25">
      <c r="A94" s="374" t="s">
        <v>319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6"/>
    </row>
    <row r="95" spans="1:25">
      <c r="A95" s="389"/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1"/>
    </row>
    <row r="96" spans="1:25">
      <c r="A96" s="377"/>
      <c r="B96" s="378"/>
      <c r="C96" s="378"/>
      <c r="D96" s="378"/>
      <c r="E96" s="378"/>
      <c r="F96" s="378"/>
      <c r="G96" s="378"/>
      <c r="H96" s="378"/>
      <c r="I96" s="378"/>
      <c r="J96" s="378"/>
      <c r="K96" s="378"/>
      <c r="L96" s="378"/>
      <c r="M96" s="378"/>
      <c r="N96" s="378"/>
      <c r="O96" s="378"/>
      <c r="P96" s="378"/>
      <c r="Q96" s="379"/>
    </row>
    <row r="98" spans="1:17">
      <c r="A98" s="373" t="s">
        <v>320</v>
      </c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7"/>
    </row>
    <row r="99" spans="1:17">
      <c r="A99" s="388" t="s">
        <v>47</v>
      </c>
      <c r="B99" s="371"/>
      <c r="C99" s="388" t="s">
        <v>297</v>
      </c>
      <c r="D99" s="370"/>
      <c r="E99" s="370"/>
      <c r="F99" s="371"/>
      <c r="G99" s="388" t="s">
        <v>321</v>
      </c>
      <c r="H99" s="370"/>
      <c r="I99" s="371"/>
      <c r="J99" s="388" t="s">
        <v>322</v>
      </c>
      <c r="K99" s="370"/>
      <c r="L99" s="371"/>
      <c r="M99" s="388" t="s">
        <v>323</v>
      </c>
      <c r="N99" s="370"/>
      <c r="O99" s="371"/>
      <c r="P99" s="388" t="s">
        <v>48</v>
      </c>
      <c r="Q99" s="371"/>
    </row>
    <row r="100" spans="1:17" ht="24" customHeight="1">
      <c r="A100" s="372" t="s">
        <v>298</v>
      </c>
      <c r="B100" s="367"/>
      <c r="C100" s="372" t="s">
        <v>15</v>
      </c>
      <c r="D100" s="366"/>
      <c r="E100" s="366"/>
      <c r="F100" s="367"/>
      <c r="G100" s="365">
        <v>993611</v>
      </c>
      <c r="H100" s="366"/>
      <c r="I100" s="367"/>
      <c r="J100" s="365">
        <f>잔액!C22</f>
        <v>993611</v>
      </c>
      <c r="K100" s="366"/>
      <c r="L100" s="367"/>
      <c r="M100" s="365">
        <f t="shared" ref="M100:M131" si="5">J100-G100</f>
        <v>0</v>
      </c>
      <c r="N100" s="366"/>
      <c r="O100" s="367"/>
      <c r="P100" s="368" t="b">
        <f t="shared" ref="P100:P131" si="6">M100=0</f>
        <v>1</v>
      </c>
      <c r="Q100" s="367"/>
    </row>
    <row r="101" spans="1:17" ht="24" customHeight="1">
      <c r="A101" s="372" t="s">
        <v>299</v>
      </c>
      <c r="B101" s="367"/>
      <c r="C101" s="372" t="s">
        <v>15</v>
      </c>
      <c r="D101" s="366"/>
      <c r="E101" s="366"/>
      <c r="F101" s="367"/>
      <c r="G101" s="365">
        <v>944667</v>
      </c>
      <c r="H101" s="366"/>
      <c r="I101" s="367"/>
      <c r="J101" s="365">
        <f>잔액!D22</f>
        <v>944667</v>
      </c>
      <c r="K101" s="366"/>
      <c r="L101" s="367"/>
      <c r="M101" s="365">
        <f t="shared" si="5"/>
        <v>0</v>
      </c>
      <c r="N101" s="366"/>
      <c r="O101" s="367"/>
      <c r="P101" s="368" t="b">
        <f t="shared" si="6"/>
        <v>1</v>
      </c>
      <c r="Q101" s="367"/>
    </row>
    <row r="102" spans="1:17" ht="24" customHeight="1">
      <c r="A102" s="372" t="s">
        <v>300</v>
      </c>
      <c r="B102" s="367"/>
      <c r="C102" s="372" t="s">
        <v>15</v>
      </c>
      <c r="D102" s="366"/>
      <c r="E102" s="366"/>
      <c r="F102" s="367"/>
      <c r="G102" s="365">
        <v>1062089</v>
      </c>
      <c r="H102" s="366"/>
      <c r="I102" s="367"/>
      <c r="J102" s="365">
        <f>잔액!E22</f>
        <v>1062089</v>
      </c>
      <c r="K102" s="366"/>
      <c r="L102" s="367"/>
      <c r="M102" s="365">
        <f t="shared" si="5"/>
        <v>0</v>
      </c>
      <c r="N102" s="366"/>
      <c r="O102" s="367"/>
      <c r="P102" s="368" t="b">
        <f t="shared" si="6"/>
        <v>1</v>
      </c>
      <c r="Q102" s="367"/>
    </row>
    <row r="103" spans="1:17" ht="24" customHeight="1">
      <c r="A103" s="372" t="s">
        <v>301</v>
      </c>
      <c r="B103" s="367"/>
      <c r="C103" s="372" t="s">
        <v>15</v>
      </c>
      <c r="D103" s="366"/>
      <c r="E103" s="366"/>
      <c r="F103" s="367"/>
      <c r="G103" s="365">
        <v>626802</v>
      </c>
      <c r="H103" s="366"/>
      <c r="I103" s="367"/>
      <c r="J103" s="365">
        <f>잔액!F22</f>
        <v>626802</v>
      </c>
      <c r="K103" s="366"/>
      <c r="L103" s="367"/>
      <c r="M103" s="365">
        <f t="shared" si="5"/>
        <v>0</v>
      </c>
      <c r="N103" s="366"/>
      <c r="O103" s="367"/>
      <c r="P103" s="368" t="b">
        <f t="shared" si="6"/>
        <v>1</v>
      </c>
      <c r="Q103" s="367"/>
    </row>
    <row r="104" spans="1:17" ht="24" customHeight="1">
      <c r="A104" s="372" t="s">
        <v>302</v>
      </c>
      <c r="B104" s="367"/>
      <c r="C104" s="372" t="s">
        <v>15</v>
      </c>
      <c r="D104" s="366"/>
      <c r="E104" s="366"/>
      <c r="F104" s="367"/>
      <c r="G104" s="365">
        <v>-498498</v>
      </c>
      <c r="H104" s="366"/>
      <c r="I104" s="367"/>
      <c r="J104" s="365">
        <f>잔액!G22</f>
        <v>-498498</v>
      </c>
      <c r="K104" s="366"/>
      <c r="L104" s="367"/>
      <c r="M104" s="365">
        <f t="shared" si="5"/>
        <v>0</v>
      </c>
      <c r="N104" s="366"/>
      <c r="O104" s="367"/>
      <c r="P104" s="368" t="b">
        <f t="shared" si="6"/>
        <v>1</v>
      </c>
      <c r="Q104" s="367"/>
    </row>
    <row r="105" spans="1:17" ht="24" customHeight="1">
      <c r="A105" s="372" t="s">
        <v>303</v>
      </c>
      <c r="B105" s="367"/>
      <c r="C105" s="372" t="s">
        <v>15</v>
      </c>
      <c r="D105" s="366"/>
      <c r="E105" s="366"/>
      <c r="F105" s="367"/>
      <c r="G105" s="365">
        <v>0</v>
      </c>
      <c r="H105" s="366"/>
      <c r="I105" s="367"/>
      <c r="J105" s="365">
        <f>잔액!H22</f>
        <v>0</v>
      </c>
      <c r="K105" s="366"/>
      <c r="L105" s="367"/>
      <c r="M105" s="365">
        <f t="shared" si="5"/>
        <v>0</v>
      </c>
      <c r="N105" s="366"/>
      <c r="O105" s="367"/>
      <c r="P105" s="368" t="b">
        <f t="shared" si="6"/>
        <v>1</v>
      </c>
      <c r="Q105" s="367"/>
    </row>
    <row r="106" spans="1:17" ht="24" customHeight="1">
      <c r="A106" s="372" t="s">
        <v>304</v>
      </c>
      <c r="B106" s="367"/>
      <c r="C106" s="372" t="s">
        <v>15</v>
      </c>
      <c r="D106" s="366"/>
      <c r="E106" s="366"/>
      <c r="F106" s="367"/>
      <c r="G106" s="365">
        <v>6388603</v>
      </c>
      <c r="H106" s="366"/>
      <c r="I106" s="367"/>
      <c r="J106" s="365">
        <f>잔액!I22</f>
        <v>6388603</v>
      </c>
      <c r="K106" s="366"/>
      <c r="L106" s="367"/>
      <c r="M106" s="365">
        <f t="shared" si="5"/>
        <v>0</v>
      </c>
      <c r="N106" s="366"/>
      <c r="O106" s="367"/>
      <c r="P106" s="368" t="b">
        <f t="shared" si="6"/>
        <v>1</v>
      </c>
      <c r="Q106" s="367"/>
    </row>
    <row r="107" spans="1:17" ht="24" customHeight="1">
      <c r="A107" s="372" t="s">
        <v>298</v>
      </c>
      <c r="B107" s="367"/>
      <c r="C107" s="372" t="s">
        <v>16</v>
      </c>
      <c r="D107" s="366"/>
      <c r="E107" s="366"/>
      <c r="F107" s="367"/>
      <c r="G107" s="365">
        <v>100000</v>
      </c>
      <c r="H107" s="366"/>
      <c r="I107" s="367"/>
      <c r="J107" s="365">
        <f>잔액!C23</f>
        <v>100000</v>
      </c>
      <c r="K107" s="366"/>
      <c r="L107" s="367"/>
      <c r="M107" s="365">
        <f t="shared" si="5"/>
        <v>0</v>
      </c>
      <c r="N107" s="366"/>
      <c r="O107" s="367"/>
      <c r="P107" s="368" t="b">
        <f t="shared" si="6"/>
        <v>1</v>
      </c>
      <c r="Q107" s="367"/>
    </row>
    <row r="108" spans="1:17" ht="24" customHeight="1">
      <c r="A108" s="372" t="s">
        <v>299</v>
      </c>
      <c r="B108" s="367"/>
      <c r="C108" s="372" t="s">
        <v>16</v>
      </c>
      <c r="D108" s="366"/>
      <c r="E108" s="366"/>
      <c r="F108" s="367"/>
      <c r="G108" s="365">
        <v>200000</v>
      </c>
      <c r="H108" s="366"/>
      <c r="I108" s="367"/>
      <c r="J108" s="365">
        <f>잔액!D23</f>
        <v>200000</v>
      </c>
      <c r="K108" s="366"/>
      <c r="L108" s="367"/>
      <c r="M108" s="365">
        <f t="shared" si="5"/>
        <v>0</v>
      </c>
      <c r="N108" s="366"/>
      <c r="O108" s="367"/>
      <c r="P108" s="368" t="b">
        <f t="shared" si="6"/>
        <v>1</v>
      </c>
      <c r="Q108" s="367"/>
    </row>
    <row r="109" spans="1:17" ht="24" customHeight="1">
      <c r="A109" s="372" t="s">
        <v>300</v>
      </c>
      <c r="B109" s="367"/>
      <c r="C109" s="372" t="s">
        <v>16</v>
      </c>
      <c r="D109" s="366"/>
      <c r="E109" s="366"/>
      <c r="F109" s="367"/>
      <c r="G109" s="365">
        <v>50000</v>
      </c>
      <c r="H109" s="366"/>
      <c r="I109" s="367"/>
      <c r="J109" s="365">
        <f>잔액!E23</f>
        <v>50000</v>
      </c>
      <c r="K109" s="366"/>
      <c r="L109" s="367"/>
      <c r="M109" s="365">
        <f t="shared" si="5"/>
        <v>0</v>
      </c>
      <c r="N109" s="366"/>
      <c r="O109" s="367"/>
      <c r="P109" s="368" t="b">
        <f t="shared" si="6"/>
        <v>1</v>
      </c>
      <c r="Q109" s="367"/>
    </row>
    <row r="110" spans="1:17" ht="24" customHeight="1">
      <c r="A110" s="372" t="s">
        <v>301</v>
      </c>
      <c r="B110" s="367"/>
      <c r="C110" s="372" t="s">
        <v>16</v>
      </c>
      <c r="D110" s="366"/>
      <c r="E110" s="366"/>
      <c r="F110" s="367"/>
      <c r="G110" s="365">
        <v>100000</v>
      </c>
      <c r="H110" s="366"/>
      <c r="I110" s="367"/>
      <c r="J110" s="365">
        <f>잔액!F23</f>
        <v>100000</v>
      </c>
      <c r="K110" s="366"/>
      <c r="L110" s="367"/>
      <c r="M110" s="365">
        <f t="shared" si="5"/>
        <v>0</v>
      </c>
      <c r="N110" s="366"/>
      <c r="O110" s="367"/>
      <c r="P110" s="368" t="b">
        <f t="shared" si="6"/>
        <v>1</v>
      </c>
      <c r="Q110" s="367"/>
    </row>
    <row r="111" spans="1:17" ht="24" customHeight="1">
      <c r="A111" s="372" t="s">
        <v>302</v>
      </c>
      <c r="B111" s="367"/>
      <c r="C111" s="372" t="s">
        <v>16</v>
      </c>
      <c r="D111" s="366"/>
      <c r="E111" s="366"/>
      <c r="F111" s="367"/>
      <c r="G111" s="365">
        <v>200000</v>
      </c>
      <c r="H111" s="366"/>
      <c r="I111" s="367"/>
      <c r="J111" s="365">
        <f>잔액!G23</f>
        <v>200000</v>
      </c>
      <c r="K111" s="366"/>
      <c r="L111" s="367"/>
      <c r="M111" s="365">
        <f t="shared" si="5"/>
        <v>0</v>
      </c>
      <c r="N111" s="366"/>
      <c r="O111" s="367"/>
      <c r="P111" s="368" t="b">
        <f t="shared" si="6"/>
        <v>1</v>
      </c>
      <c r="Q111" s="367"/>
    </row>
    <row r="112" spans="1:17" ht="24" customHeight="1">
      <c r="A112" s="372" t="s">
        <v>303</v>
      </c>
      <c r="B112" s="367"/>
      <c r="C112" s="372" t="s">
        <v>16</v>
      </c>
      <c r="D112" s="366"/>
      <c r="E112" s="366"/>
      <c r="F112" s="367"/>
      <c r="G112" s="365">
        <v>300000</v>
      </c>
      <c r="H112" s="366"/>
      <c r="I112" s="367"/>
      <c r="J112" s="365">
        <f>잔액!H23</f>
        <v>300000</v>
      </c>
      <c r="K112" s="366"/>
      <c r="L112" s="367"/>
      <c r="M112" s="365">
        <f t="shared" si="5"/>
        <v>0</v>
      </c>
      <c r="N112" s="366"/>
      <c r="O112" s="367"/>
      <c r="P112" s="368" t="b">
        <f t="shared" si="6"/>
        <v>1</v>
      </c>
      <c r="Q112" s="367"/>
    </row>
    <row r="113" spans="1:17" ht="24" customHeight="1">
      <c r="A113" s="372" t="s">
        <v>304</v>
      </c>
      <c r="B113" s="367"/>
      <c r="C113" s="372" t="s">
        <v>16</v>
      </c>
      <c r="D113" s="366"/>
      <c r="E113" s="366"/>
      <c r="F113" s="367"/>
      <c r="G113" s="365">
        <v>0</v>
      </c>
      <c r="H113" s="366"/>
      <c r="I113" s="367"/>
      <c r="J113" s="365">
        <f>잔액!I23</f>
        <v>0</v>
      </c>
      <c r="K113" s="366"/>
      <c r="L113" s="367"/>
      <c r="M113" s="365">
        <f t="shared" si="5"/>
        <v>0</v>
      </c>
      <c r="N113" s="366"/>
      <c r="O113" s="367"/>
      <c r="P113" s="368" t="b">
        <f t="shared" si="6"/>
        <v>1</v>
      </c>
      <c r="Q113" s="367"/>
    </row>
    <row r="114" spans="1:17" ht="24" customHeight="1">
      <c r="A114" s="372" t="s">
        <v>298</v>
      </c>
      <c r="B114" s="367"/>
      <c r="C114" s="372" t="s">
        <v>17</v>
      </c>
      <c r="D114" s="366"/>
      <c r="E114" s="366"/>
      <c r="F114" s="367"/>
      <c r="G114" s="365">
        <v>1300000</v>
      </c>
      <c r="H114" s="366"/>
      <c r="I114" s="367"/>
      <c r="J114" s="365">
        <f>잔액!C24</f>
        <v>1300000</v>
      </c>
      <c r="K114" s="366"/>
      <c r="L114" s="367"/>
      <c r="M114" s="365">
        <f t="shared" si="5"/>
        <v>0</v>
      </c>
      <c r="N114" s="366"/>
      <c r="O114" s="367"/>
      <c r="P114" s="368" t="b">
        <f t="shared" si="6"/>
        <v>1</v>
      </c>
      <c r="Q114" s="367"/>
    </row>
    <row r="115" spans="1:17" ht="24" customHeight="1">
      <c r="A115" s="372" t="s">
        <v>299</v>
      </c>
      <c r="B115" s="367"/>
      <c r="C115" s="372" t="s">
        <v>17</v>
      </c>
      <c r="D115" s="366"/>
      <c r="E115" s="366"/>
      <c r="F115" s="367"/>
      <c r="G115" s="365">
        <v>1400000</v>
      </c>
      <c r="H115" s="366"/>
      <c r="I115" s="367"/>
      <c r="J115" s="365">
        <f>잔액!D24</f>
        <v>1400000</v>
      </c>
      <c r="K115" s="366"/>
      <c r="L115" s="367"/>
      <c r="M115" s="365">
        <f t="shared" si="5"/>
        <v>0</v>
      </c>
      <c r="N115" s="366"/>
      <c r="O115" s="367"/>
      <c r="P115" s="368" t="b">
        <f t="shared" si="6"/>
        <v>1</v>
      </c>
      <c r="Q115" s="367"/>
    </row>
    <row r="116" spans="1:17" ht="24" customHeight="1">
      <c r="A116" s="372" t="s">
        <v>300</v>
      </c>
      <c r="B116" s="367"/>
      <c r="C116" s="372" t="s">
        <v>17</v>
      </c>
      <c r="D116" s="366"/>
      <c r="E116" s="366"/>
      <c r="F116" s="367"/>
      <c r="G116" s="365">
        <v>1500000</v>
      </c>
      <c r="H116" s="366"/>
      <c r="I116" s="367"/>
      <c r="J116" s="365">
        <f>잔액!E24</f>
        <v>1500000</v>
      </c>
      <c r="K116" s="366"/>
      <c r="L116" s="367"/>
      <c r="M116" s="365">
        <f t="shared" si="5"/>
        <v>0</v>
      </c>
      <c r="N116" s="366"/>
      <c r="O116" s="367"/>
      <c r="P116" s="368" t="b">
        <f t="shared" si="6"/>
        <v>1</v>
      </c>
      <c r="Q116" s="367"/>
    </row>
    <row r="117" spans="1:17" ht="24" customHeight="1">
      <c r="A117" s="372" t="s">
        <v>301</v>
      </c>
      <c r="B117" s="367"/>
      <c r="C117" s="372" t="s">
        <v>17</v>
      </c>
      <c r="D117" s="366"/>
      <c r="E117" s="366"/>
      <c r="F117" s="367"/>
      <c r="G117" s="365">
        <v>1600000</v>
      </c>
      <c r="H117" s="366"/>
      <c r="I117" s="367"/>
      <c r="J117" s="365">
        <f>잔액!F24</f>
        <v>1600000</v>
      </c>
      <c r="K117" s="366"/>
      <c r="L117" s="367"/>
      <c r="M117" s="365">
        <f t="shared" si="5"/>
        <v>0</v>
      </c>
      <c r="N117" s="366"/>
      <c r="O117" s="367"/>
      <c r="P117" s="368" t="b">
        <f t="shared" si="6"/>
        <v>1</v>
      </c>
      <c r="Q117" s="367"/>
    </row>
    <row r="118" spans="1:17" ht="24" customHeight="1">
      <c r="A118" s="372" t="s">
        <v>302</v>
      </c>
      <c r="B118" s="367"/>
      <c r="C118" s="372" t="s">
        <v>17</v>
      </c>
      <c r="D118" s="366"/>
      <c r="E118" s="366"/>
      <c r="F118" s="367"/>
      <c r="G118" s="365">
        <v>1600000</v>
      </c>
      <c r="H118" s="366"/>
      <c r="I118" s="367"/>
      <c r="J118" s="365">
        <f>잔액!G24</f>
        <v>1600000</v>
      </c>
      <c r="K118" s="366"/>
      <c r="L118" s="367"/>
      <c r="M118" s="365">
        <f t="shared" si="5"/>
        <v>0</v>
      </c>
      <c r="N118" s="366"/>
      <c r="O118" s="367"/>
      <c r="P118" s="368" t="b">
        <f t="shared" si="6"/>
        <v>1</v>
      </c>
      <c r="Q118" s="367"/>
    </row>
    <row r="119" spans="1:17" ht="24" customHeight="1">
      <c r="A119" s="372" t="s">
        <v>303</v>
      </c>
      <c r="B119" s="367"/>
      <c r="C119" s="372" t="s">
        <v>17</v>
      </c>
      <c r="D119" s="366"/>
      <c r="E119" s="366"/>
      <c r="F119" s="367"/>
      <c r="G119" s="365">
        <v>1300000</v>
      </c>
      <c r="H119" s="366"/>
      <c r="I119" s="367"/>
      <c r="J119" s="365">
        <f>잔액!H24</f>
        <v>1300000</v>
      </c>
      <c r="K119" s="366"/>
      <c r="L119" s="367"/>
      <c r="M119" s="365">
        <f t="shared" si="5"/>
        <v>0</v>
      </c>
      <c r="N119" s="366"/>
      <c r="O119" s="367"/>
      <c r="P119" s="368" t="b">
        <f t="shared" si="6"/>
        <v>1</v>
      </c>
      <c r="Q119" s="367"/>
    </row>
    <row r="120" spans="1:17" ht="24" customHeight="1">
      <c r="A120" s="372" t="s">
        <v>304</v>
      </c>
      <c r="B120" s="367"/>
      <c r="C120" s="372" t="s">
        <v>17</v>
      </c>
      <c r="D120" s="366"/>
      <c r="E120" s="366"/>
      <c r="F120" s="367"/>
      <c r="G120" s="365">
        <v>1400000</v>
      </c>
      <c r="H120" s="366"/>
      <c r="I120" s="367"/>
      <c r="J120" s="365">
        <f>잔액!I24</f>
        <v>1400000</v>
      </c>
      <c r="K120" s="366"/>
      <c r="L120" s="367"/>
      <c r="M120" s="365">
        <f t="shared" si="5"/>
        <v>0</v>
      </c>
      <c r="N120" s="366"/>
      <c r="O120" s="367"/>
      <c r="P120" s="368" t="b">
        <f t="shared" si="6"/>
        <v>1</v>
      </c>
      <c r="Q120" s="367"/>
    </row>
    <row r="121" spans="1:17" ht="24" customHeight="1">
      <c r="A121" s="372" t="s">
        <v>298</v>
      </c>
      <c r="B121" s="367"/>
      <c r="C121" s="372" t="s">
        <v>18</v>
      </c>
      <c r="D121" s="366"/>
      <c r="E121" s="366"/>
      <c r="F121" s="367"/>
      <c r="G121" s="365">
        <v>0</v>
      </c>
      <c r="H121" s="366"/>
      <c r="I121" s="367"/>
      <c r="J121" s="365">
        <f>잔액!C25</f>
        <v>0</v>
      </c>
      <c r="K121" s="366"/>
      <c r="L121" s="367"/>
      <c r="M121" s="365">
        <f t="shared" si="5"/>
        <v>0</v>
      </c>
      <c r="N121" s="366"/>
      <c r="O121" s="367"/>
      <c r="P121" s="368" t="b">
        <f t="shared" si="6"/>
        <v>1</v>
      </c>
      <c r="Q121" s="367"/>
    </row>
    <row r="122" spans="1:17" ht="24" customHeight="1">
      <c r="A122" s="372" t="s">
        <v>299</v>
      </c>
      <c r="B122" s="367"/>
      <c r="C122" s="372" t="s">
        <v>18</v>
      </c>
      <c r="D122" s="366"/>
      <c r="E122" s="366"/>
      <c r="F122" s="367"/>
      <c r="G122" s="365">
        <v>0</v>
      </c>
      <c r="H122" s="366"/>
      <c r="I122" s="367"/>
      <c r="J122" s="365">
        <f>잔액!D25</f>
        <v>0</v>
      </c>
      <c r="K122" s="366"/>
      <c r="L122" s="367"/>
      <c r="M122" s="365">
        <f t="shared" si="5"/>
        <v>0</v>
      </c>
      <c r="N122" s="366"/>
      <c r="O122" s="367"/>
      <c r="P122" s="368" t="b">
        <f t="shared" si="6"/>
        <v>1</v>
      </c>
      <c r="Q122" s="367"/>
    </row>
    <row r="123" spans="1:17" ht="24" customHeight="1">
      <c r="A123" s="372" t="s">
        <v>300</v>
      </c>
      <c r="B123" s="367"/>
      <c r="C123" s="372" t="s">
        <v>18</v>
      </c>
      <c r="D123" s="366"/>
      <c r="E123" s="366"/>
      <c r="F123" s="367"/>
      <c r="G123" s="365">
        <v>50000</v>
      </c>
      <c r="H123" s="366"/>
      <c r="I123" s="367"/>
      <c r="J123" s="365">
        <f>잔액!E25</f>
        <v>50000</v>
      </c>
      <c r="K123" s="366"/>
      <c r="L123" s="367"/>
      <c r="M123" s="365">
        <f t="shared" si="5"/>
        <v>0</v>
      </c>
      <c r="N123" s="366"/>
      <c r="O123" s="367"/>
      <c r="P123" s="368" t="b">
        <f t="shared" si="6"/>
        <v>1</v>
      </c>
      <c r="Q123" s="367"/>
    </row>
    <row r="124" spans="1:17" ht="24" customHeight="1">
      <c r="A124" s="372" t="s">
        <v>301</v>
      </c>
      <c r="B124" s="367"/>
      <c r="C124" s="372" t="s">
        <v>18</v>
      </c>
      <c r="D124" s="366"/>
      <c r="E124" s="366"/>
      <c r="F124" s="367"/>
      <c r="G124" s="365">
        <v>100000</v>
      </c>
      <c r="H124" s="366"/>
      <c r="I124" s="367"/>
      <c r="J124" s="365">
        <f>잔액!F25</f>
        <v>100000</v>
      </c>
      <c r="K124" s="366"/>
      <c r="L124" s="367"/>
      <c r="M124" s="365">
        <f t="shared" si="5"/>
        <v>0</v>
      </c>
      <c r="N124" s="366"/>
      <c r="O124" s="367"/>
      <c r="P124" s="368" t="b">
        <f t="shared" si="6"/>
        <v>1</v>
      </c>
      <c r="Q124" s="367"/>
    </row>
    <row r="125" spans="1:17" ht="24" customHeight="1">
      <c r="A125" s="372" t="s">
        <v>302</v>
      </c>
      <c r="B125" s="367"/>
      <c r="C125" s="372" t="s">
        <v>18</v>
      </c>
      <c r="D125" s="366"/>
      <c r="E125" s="366"/>
      <c r="F125" s="367"/>
      <c r="G125" s="365">
        <v>150000</v>
      </c>
      <c r="H125" s="366"/>
      <c r="I125" s="367"/>
      <c r="J125" s="365">
        <f>잔액!G25</f>
        <v>150000</v>
      </c>
      <c r="K125" s="366"/>
      <c r="L125" s="367"/>
      <c r="M125" s="365">
        <f t="shared" si="5"/>
        <v>0</v>
      </c>
      <c r="N125" s="366"/>
      <c r="O125" s="367"/>
      <c r="P125" s="368" t="b">
        <f t="shared" si="6"/>
        <v>1</v>
      </c>
      <c r="Q125" s="367"/>
    </row>
    <row r="126" spans="1:17" ht="24" customHeight="1">
      <c r="A126" s="372" t="s">
        <v>303</v>
      </c>
      <c r="B126" s="367"/>
      <c r="C126" s="372" t="s">
        <v>18</v>
      </c>
      <c r="D126" s="366"/>
      <c r="E126" s="366"/>
      <c r="F126" s="367"/>
      <c r="G126" s="365">
        <v>200000</v>
      </c>
      <c r="H126" s="366"/>
      <c r="I126" s="367"/>
      <c r="J126" s="365">
        <f>잔액!H25</f>
        <v>200000</v>
      </c>
      <c r="K126" s="366"/>
      <c r="L126" s="367"/>
      <c r="M126" s="365">
        <f t="shared" si="5"/>
        <v>0</v>
      </c>
      <c r="N126" s="366"/>
      <c r="O126" s="367"/>
      <c r="P126" s="368" t="b">
        <f t="shared" si="6"/>
        <v>1</v>
      </c>
      <c r="Q126" s="367"/>
    </row>
    <row r="127" spans="1:17" ht="24" customHeight="1">
      <c r="A127" s="372" t="s">
        <v>304</v>
      </c>
      <c r="B127" s="367"/>
      <c r="C127" s="372" t="s">
        <v>18</v>
      </c>
      <c r="D127" s="366"/>
      <c r="E127" s="366"/>
      <c r="F127" s="367"/>
      <c r="G127" s="365">
        <v>450000</v>
      </c>
      <c r="H127" s="366"/>
      <c r="I127" s="367"/>
      <c r="J127" s="365">
        <f>잔액!I25</f>
        <v>450000</v>
      </c>
      <c r="K127" s="366"/>
      <c r="L127" s="367"/>
      <c r="M127" s="365">
        <f t="shared" si="5"/>
        <v>0</v>
      </c>
      <c r="N127" s="366"/>
      <c r="O127" s="367"/>
      <c r="P127" s="368" t="b">
        <f t="shared" si="6"/>
        <v>1</v>
      </c>
      <c r="Q127" s="367"/>
    </row>
    <row r="128" spans="1:17" ht="24" customHeight="1">
      <c r="A128" s="372" t="s">
        <v>298</v>
      </c>
      <c r="B128" s="367"/>
      <c r="C128" s="372" t="s">
        <v>19</v>
      </c>
      <c r="D128" s="366"/>
      <c r="E128" s="366"/>
      <c r="F128" s="367"/>
      <c r="G128" s="365">
        <v>350000</v>
      </c>
      <c r="H128" s="366"/>
      <c r="I128" s="367"/>
      <c r="J128" s="365">
        <f>잔액!C26</f>
        <v>350000</v>
      </c>
      <c r="K128" s="366"/>
      <c r="L128" s="367"/>
      <c r="M128" s="365">
        <f t="shared" si="5"/>
        <v>0</v>
      </c>
      <c r="N128" s="366"/>
      <c r="O128" s="367"/>
      <c r="P128" s="368" t="b">
        <f t="shared" si="6"/>
        <v>1</v>
      </c>
      <c r="Q128" s="367"/>
    </row>
    <row r="129" spans="1:17" ht="24" customHeight="1">
      <c r="A129" s="372" t="s">
        <v>299</v>
      </c>
      <c r="B129" s="367"/>
      <c r="C129" s="372" t="s">
        <v>19</v>
      </c>
      <c r="D129" s="366"/>
      <c r="E129" s="366"/>
      <c r="F129" s="367"/>
      <c r="G129" s="365">
        <v>350000</v>
      </c>
      <c r="H129" s="366"/>
      <c r="I129" s="367"/>
      <c r="J129" s="365">
        <f>잔액!D26</f>
        <v>350000</v>
      </c>
      <c r="K129" s="366"/>
      <c r="L129" s="367"/>
      <c r="M129" s="365">
        <f t="shared" si="5"/>
        <v>0</v>
      </c>
      <c r="N129" s="366"/>
      <c r="O129" s="367"/>
      <c r="P129" s="368" t="b">
        <f t="shared" si="6"/>
        <v>1</v>
      </c>
      <c r="Q129" s="367"/>
    </row>
    <row r="130" spans="1:17" ht="24" customHeight="1">
      <c r="A130" s="372" t="s">
        <v>300</v>
      </c>
      <c r="B130" s="367"/>
      <c r="C130" s="372" t="s">
        <v>19</v>
      </c>
      <c r="D130" s="366"/>
      <c r="E130" s="366"/>
      <c r="F130" s="367"/>
      <c r="G130" s="365">
        <v>0</v>
      </c>
      <c r="H130" s="366"/>
      <c r="I130" s="367"/>
      <c r="J130" s="365">
        <f>잔액!E26</f>
        <v>0</v>
      </c>
      <c r="K130" s="366"/>
      <c r="L130" s="367"/>
      <c r="M130" s="365">
        <f t="shared" si="5"/>
        <v>0</v>
      </c>
      <c r="N130" s="366"/>
      <c r="O130" s="367"/>
      <c r="P130" s="368" t="b">
        <f t="shared" si="6"/>
        <v>1</v>
      </c>
      <c r="Q130" s="367"/>
    </row>
    <row r="131" spans="1:17" ht="24" customHeight="1">
      <c r="A131" s="372" t="s">
        <v>301</v>
      </c>
      <c r="B131" s="367"/>
      <c r="C131" s="372" t="s">
        <v>19</v>
      </c>
      <c r="D131" s="366"/>
      <c r="E131" s="366"/>
      <c r="F131" s="367"/>
      <c r="G131" s="365">
        <v>0</v>
      </c>
      <c r="H131" s="366"/>
      <c r="I131" s="367"/>
      <c r="J131" s="365">
        <f>잔액!F26</f>
        <v>0</v>
      </c>
      <c r="K131" s="366"/>
      <c r="L131" s="367"/>
      <c r="M131" s="365">
        <f t="shared" si="5"/>
        <v>0</v>
      </c>
      <c r="N131" s="366"/>
      <c r="O131" s="367"/>
      <c r="P131" s="368" t="b">
        <f t="shared" si="6"/>
        <v>1</v>
      </c>
      <c r="Q131" s="367"/>
    </row>
    <row r="132" spans="1:17" ht="24" customHeight="1">
      <c r="A132" s="372" t="s">
        <v>302</v>
      </c>
      <c r="B132" s="367"/>
      <c r="C132" s="372" t="s">
        <v>19</v>
      </c>
      <c r="D132" s="366"/>
      <c r="E132" s="366"/>
      <c r="F132" s="367"/>
      <c r="G132" s="365">
        <v>100000</v>
      </c>
      <c r="H132" s="366"/>
      <c r="I132" s="367"/>
      <c r="J132" s="365">
        <f>잔액!G26</f>
        <v>100000</v>
      </c>
      <c r="K132" s="366"/>
      <c r="L132" s="367"/>
      <c r="M132" s="365">
        <f t="shared" ref="M132:M162" si="7">J132-G132</f>
        <v>0</v>
      </c>
      <c r="N132" s="366"/>
      <c r="O132" s="367"/>
      <c r="P132" s="368" t="b">
        <f t="shared" ref="P132:P162" si="8">M132=0</f>
        <v>1</v>
      </c>
      <c r="Q132" s="367"/>
    </row>
    <row r="133" spans="1:17" ht="24" customHeight="1">
      <c r="A133" s="372" t="s">
        <v>303</v>
      </c>
      <c r="B133" s="367"/>
      <c r="C133" s="372" t="s">
        <v>19</v>
      </c>
      <c r="D133" s="366"/>
      <c r="E133" s="366"/>
      <c r="F133" s="367"/>
      <c r="G133" s="365">
        <v>200000</v>
      </c>
      <c r="H133" s="366"/>
      <c r="I133" s="367"/>
      <c r="J133" s="365">
        <f>잔액!H26</f>
        <v>200000</v>
      </c>
      <c r="K133" s="366"/>
      <c r="L133" s="367"/>
      <c r="M133" s="365">
        <f t="shared" si="7"/>
        <v>0</v>
      </c>
      <c r="N133" s="366"/>
      <c r="O133" s="367"/>
      <c r="P133" s="368" t="b">
        <f t="shared" si="8"/>
        <v>1</v>
      </c>
      <c r="Q133" s="367"/>
    </row>
    <row r="134" spans="1:17" ht="24" customHeight="1">
      <c r="A134" s="372" t="s">
        <v>304</v>
      </c>
      <c r="B134" s="367"/>
      <c r="C134" s="372" t="s">
        <v>19</v>
      </c>
      <c r="D134" s="366"/>
      <c r="E134" s="366"/>
      <c r="F134" s="367"/>
      <c r="G134" s="365">
        <v>300000</v>
      </c>
      <c r="H134" s="366"/>
      <c r="I134" s="367"/>
      <c r="J134" s="365">
        <f>잔액!I26</f>
        <v>300000</v>
      </c>
      <c r="K134" s="366"/>
      <c r="L134" s="367"/>
      <c r="M134" s="365">
        <f t="shared" si="7"/>
        <v>0</v>
      </c>
      <c r="N134" s="366"/>
      <c r="O134" s="367"/>
      <c r="P134" s="368" t="b">
        <f t="shared" si="8"/>
        <v>1</v>
      </c>
      <c r="Q134" s="367"/>
    </row>
    <row r="135" spans="1:17" ht="24" customHeight="1">
      <c r="A135" s="372" t="s">
        <v>298</v>
      </c>
      <c r="B135" s="367"/>
      <c r="C135" s="372" t="s">
        <v>20</v>
      </c>
      <c r="D135" s="366"/>
      <c r="E135" s="366"/>
      <c r="F135" s="367"/>
      <c r="G135" s="365">
        <v>0</v>
      </c>
      <c r="H135" s="366"/>
      <c r="I135" s="367"/>
      <c r="J135" s="365">
        <f>잔액!C27</f>
        <v>0</v>
      </c>
      <c r="K135" s="366"/>
      <c r="L135" s="367"/>
      <c r="M135" s="365">
        <f t="shared" si="7"/>
        <v>0</v>
      </c>
      <c r="N135" s="366"/>
      <c r="O135" s="367"/>
      <c r="P135" s="368" t="b">
        <f t="shared" si="8"/>
        <v>1</v>
      </c>
      <c r="Q135" s="367"/>
    </row>
    <row r="136" spans="1:17" ht="24" customHeight="1">
      <c r="A136" s="372" t="s">
        <v>299</v>
      </c>
      <c r="B136" s="367"/>
      <c r="C136" s="372" t="s">
        <v>20</v>
      </c>
      <c r="D136" s="366"/>
      <c r="E136" s="366"/>
      <c r="F136" s="367"/>
      <c r="G136" s="365">
        <v>0</v>
      </c>
      <c r="H136" s="366"/>
      <c r="I136" s="367"/>
      <c r="J136" s="365">
        <f>잔액!D27</f>
        <v>0</v>
      </c>
      <c r="K136" s="366"/>
      <c r="L136" s="367"/>
      <c r="M136" s="365">
        <f t="shared" si="7"/>
        <v>0</v>
      </c>
      <c r="N136" s="366"/>
      <c r="O136" s="367"/>
      <c r="P136" s="368" t="b">
        <f t="shared" si="8"/>
        <v>1</v>
      </c>
      <c r="Q136" s="367"/>
    </row>
    <row r="137" spans="1:17" ht="24" customHeight="1">
      <c r="A137" s="372" t="s">
        <v>300</v>
      </c>
      <c r="B137" s="367"/>
      <c r="C137" s="372" t="s">
        <v>20</v>
      </c>
      <c r="D137" s="366"/>
      <c r="E137" s="366"/>
      <c r="F137" s="367"/>
      <c r="G137" s="365">
        <v>0</v>
      </c>
      <c r="H137" s="366"/>
      <c r="I137" s="367"/>
      <c r="J137" s="365">
        <f>잔액!E27</f>
        <v>0</v>
      </c>
      <c r="K137" s="366"/>
      <c r="L137" s="367"/>
      <c r="M137" s="365">
        <f t="shared" si="7"/>
        <v>0</v>
      </c>
      <c r="N137" s="366"/>
      <c r="O137" s="367"/>
      <c r="P137" s="368" t="b">
        <f t="shared" si="8"/>
        <v>1</v>
      </c>
      <c r="Q137" s="367"/>
    </row>
    <row r="138" spans="1:17" ht="24" customHeight="1">
      <c r="A138" s="372" t="s">
        <v>301</v>
      </c>
      <c r="B138" s="367"/>
      <c r="C138" s="372" t="s">
        <v>20</v>
      </c>
      <c r="D138" s="366"/>
      <c r="E138" s="366"/>
      <c r="F138" s="367"/>
      <c r="G138" s="365">
        <v>0</v>
      </c>
      <c r="H138" s="366"/>
      <c r="I138" s="367"/>
      <c r="J138" s="365">
        <f>잔액!F27</f>
        <v>0</v>
      </c>
      <c r="K138" s="366"/>
      <c r="L138" s="367"/>
      <c r="M138" s="365">
        <f t="shared" si="7"/>
        <v>0</v>
      </c>
      <c r="N138" s="366"/>
      <c r="O138" s="367"/>
      <c r="P138" s="368" t="b">
        <f t="shared" si="8"/>
        <v>1</v>
      </c>
      <c r="Q138" s="367"/>
    </row>
    <row r="139" spans="1:17" ht="24" customHeight="1">
      <c r="A139" s="372" t="s">
        <v>302</v>
      </c>
      <c r="B139" s="367"/>
      <c r="C139" s="372" t="s">
        <v>20</v>
      </c>
      <c r="D139" s="366"/>
      <c r="E139" s="366"/>
      <c r="F139" s="367"/>
      <c r="G139" s="365">
        <v>0</v>
      </c>
      <c r="H139" s="366"/>
      <c r="I139" s="367"/>
      <c r="J139" s="365">
        <f>잔액!G27</f>
        <v>0</v>
      </c>
      <c r="K139" s="366"/>
      <c r="L139" s="367"/>
      <c r="M139" s="365">
        <f t="shared" si="7"/>
        <v>0</v>
      </c>
      <c r="N139" s="366"/>
      <c r="O139" s="367"/>
      <c r="P139" s="368" t="b">
        <f t="shared" si="8"/>
        <v>1</v>
      </c>
      <c r="Q139" s="367"/>
    </row>
    <row r="140" spans="1:17" ht="24" customHeight="1">
      <c r="A140" s="372" t="s">
        <v>303</v>
      </c>
      <c r="B140" s="367"/>
      <c r="C140" s="372" t="s">
        <v>20</v>
      </c>
      <c r="D140" s="366"/>
      <c r="E140" s="366"/>
      <c r="F140" s="367"/>
      <c r="G140" s="365">
        <v>0</v>
      </c>
      <c r="H140" s="366"/>
      <c r="I140" s="367"/>
      <c r="J140" s="365">
        <f>잔액!H27</f>
        <v>0</v>
      </c>
      <c r="K140" s="366"/>
      <c r="L140" s="367"/>
      <c r="M140" s="365">
        <f t="shared" si="7"/>
        <v>0</v>
      </c>
      <c r="N140" s="366"/>
      <c r="O140" s="367"/>
      <c r="P140" s="368" t="b">
        <f t="shared" si="8"/>
        <v>1</v>
      </c>
      <c r="Q140" s="367"/>
    </row>
    <row r="141" spans="1:17" ht="24" customHeight="1">
      <c r="A141" s="372" t="s">
        <v>304</v>
      </c>
      <c r="B141" s="367"/>
      <c r="C141" s="372" t="s">
        <v>20</v>
      </c>
      <c r="D141" s="366"/>
      <c r="E141" s="366"/>
      <c r="F141" s="367"/>
      <c r="G141" s="365">
        <v>0</v>
      </c>
      <c r="H141" s="366"/>
      <c r="I141" s="367"/>
      <c r="J141" s="365">
        <f>잔액!I27</f>
        <v>0</v>
      </c>
      <c r="K141" s="366"/>
      <c r="L141" s="367"/>
      <c r="M141" s="365">
        <f t="shared" si="7"/>
        <v>0</v>
      </c>
      <c r="N141" s="366"/>
      <c r="O141" s="367"/>
      <c r="P141" s="368" t="b">
        <f t="shared" si="8"/>
        <v>1</v>
      </c>
      <c r="Q141" s="367"/>
    </row>
    <row r="142" spans="1:17" ht="24" customHeight="1">
      <c r="A142" s="372" t="s">
        <v>298</v>
      </c>
      <c r="B142" s="367"/>
      <c r="C142" s="372" t="s">
        <v>21</v>
      </c>
      <c r="D142" s="366"/>
      <c r="E142" s="366"/>
      <c r="F142" s="367"/>
      <c r="G142" s="365">
        <v>21500</v>
      </c>
      <c r="H142" s="366"/>
      <c r="I142" s="367"/>
      <c r="J142" s="365">
        <f>잔액!C28</f>
        <v>21500</v>
      </c>
      <c r="K142" s="366"/>
      <c r="L142" s="367"/>
      <c r="M142" s="365">
        <f t="shared" si="7"/>
        <v>0</v>
      </c>
      <c r="N142" s="366"/>
      <c r="O142" s="367"/>
      <c r="P142" s="368" t="b">
        <f t="shared" si="8"/>
        <v>1</v>
      </c>
      <c r="Q142" s="367"/>
    </row>
    <row r="143" spans="1:17" ht="24" customHeight="1">
      <c r="A143" s="372" t="s">
        <v>299</v>
      </c>
      <c r="B143" s="367"/>
      <c r="C143" s="372" t="s">
        <v>21</v>
      </c>
      <c r="D143" s="366"/>
      <c r="E143" s="366"/>
      <c r="F143" s="367"/>
      <c r="G143" s="365">
        <v>0</v>
      </c>
      <c r="H143" s="366"/>
      <c r="I143" s="367"/>
      <c r="J143" s="365">
        <f>잔액!D28</f>
        <v>0</v>
      </c>
      <c r="K143" s="366"/>
      <c r="L143" s="367"/>
      <c r="M143" s="365">
        <f t="shared" si="7"/>
        <v>0</v>
      </c>
      <c r="N143" s="366"/>
      <c r="O143" s="367"/>
      <c r="P143" s="368" t="b">
        <f t="shared" si="8"/>
        <v>1</v>
      </c>
      <c r="Q143" s="367"/>
    </row>
    <row r="144" spans="1:17" ht="24" customHeight="1">
      <c r="A144" s="372" t="s">
        <v>300</v>
      </c>
      <c r="B144" s="367"/>
      <c r="C144" s="372" t="s">
        <v>21</v>
      </c>
      <c r="D144" s="366"/>
      <c r="E144" s="366"/>
      <c r="F144" s="367"/>
      <c r="G144" s="365">
        <v>0</v>
      </c>
      <c r="H144" s="366"/>
      <c r="I144" s="367"/>
      <c r="J144" s="365">
        <f>잔액!E28</f>
        <v>0</v>
      </c>
      <c r="K144" s="366"/>
      <c r="L144" s="367"/>
      <c r="M144" s="365">
        <f t="shared" si="7"/>
        <v>0</v>
      </c>
      <c r="N144" s="366"/>
      <c r="O144" s="367"/>
      <c r="P144" s="368" t="b">
        <f t="shared" si="8"/>
        <v>1</v>
      </c>
      <c r="Q144" s="367"/>
    </row>
    <row r="145" spans="1:17" ht="24" customHeight="1">
      <c r="A145" s="372" t="s">
        <v>301</v>
      </c>
      <c r="B145" s="367"/>
      <c r="C145" s="372" t="s">
        <v>21</v>
      </c>
      <c r="D145" s="366"/>
      <c r="E145" s="366"/>
      <c r="F145" s="367"/>
      <c r="G145" s="365">
        <v>0</v>
      </c>
      <c r="H145" s="366"/>
      <c r="I145" s="367"/>
      <c r="J145" s="365">
        <f>잔액!F28</f>
        <v>0</v>
      </c>
      <c r="K145" s="366"/>
      <c r="L145" s="367"/>
      <c r="M145" s="365">
        <f t="shared" si="7"/>
        <v>0</v>
      </c>
      <c r="N145" s="366"/>
      <c r="O145" s="367"/>
      <c r="P145" s="368" t="b">
        <f t="shared" si="8"/>
        <v>1</v>
      </c>
      <c r="Q145" s="367"/>
    </row>
    <row r="146" spans="1:17" ht="24" customHeight="1">
      <c r="A146" s="372" t="s">
        <v>302</v>
      </c>
      <c r="B146" s="367"/>
      <c r="C146" s="372" t="s">
        <v>21</v>
      </c>
      <c r="D146" s="366"/>
      <c r="E146" s="366"/>
      <c r="F146" s="367"/>
      <c r="G146" s="365">
        <v>0</v>
      </c>
      <c r="H146" s="366"/>
      <c r="I146" s="367"/>
      <c r="J146" s="365">
        <f>잔액!G28</f>
        <v>0</v>
      </c>
      <c r="K146" s="366"/>
      <c r="L146" s="367"/>
      <c r="M146" s="365">
        <f t="shared" si="7"/>
        <v>0</v>
      </c>
      <c r="N146" s="366"/>
      <c r="O146" s="367"/>
      <c r="P146" s="368" t="b">
        <f t="shared" si="8"/>
        <v>1</v>
      </c>
      <c r="Q146" s="367"/>
    </row>
    <row r="147" spans="1:17" ht="24" customHeight="1">
      <c r="A147" s="372" t="s">
        <v>303</v>
      </c>
      <c r="B147" s="367"/>
      <c r="C147" s="372" t="s">
        <v>21</v>
      </c>
      <c r="D147" s="366"/>
      <c r="E147" s="366"/>
      <c r="F147" s="367"/>
      <c r="G147" s="365">
        <v>0</v>
      </c>
      <c r="H147" s="366"/>
      <c r="I147" s="367"/>
      <c r="J147" s="365">
        <f>잔액!H28</f>
        <v>0</v>
      </c>
      <c r="K147" s="366"/>
      <c r="L147" s="367"/>
      <c r="M147" s="365">
        <f t="shared" si="7"/>
        <v>0</v>
      </c>
      <c r="N147" s="366"/>
      <c r="O147" s="367"/>
      <c r="P147" s="368" t="b">
        <f t="shared" si="8"/>
        <v>1</v>
      </c>
      <c r="Q147" s="367"/>
    </row>
    <row r="148" spans="1:17" ht="24" customHeight="1">
      <c r="A148" s="372" t="s">
        <v>304</v>
      </c>
      <c r="B148" s="367"/>
      <c r="C148" s="372" t="s">
        <v>21</v>
      </c>
      <c r="D148" s="366"/>
      <c r="E148" s="366"/>
      <c r="F148" s="367"/>
      <c r="G148" s="365">
        <v>0</v>
      </c>
      <c r="H148" s="366"/>
      <c r="I148" s="367"/>
      <c r="J148" s="365">
        <f>잔액!I28</f>
        <v>0</v>
      </c>
      <c r="K148" s="366"/>
      <c r="L148" s="367"/>
      <c r="M148" s="365">
        <f t="shared" si="7"/>
        <v>0</v>
      </c>
      <c r="N148" s="366"/>
      <c r="O148" s="367"/>
      <c r="P148" s="368" t="b">
        <f t="shared" si="8"/>
        <v>1</v>
      </c>
      <c r="Q148" s="367"/>
    </row>
    <row r="149" spans="1:17" ht="24" customHeight="1">
      <c r="A149" s="372" t="s">
        <v>298</v>
      </c>
      <c r="B149" s="367"/>
      <c r="C149" s="372" t="s">
        <v>22</v>
      </c>
      <c r="D149" s="366"/>
      <c r="E149" s="366"/>
      <c r="F149" s="367"/>
      <c r="G149" s="365">
        <v>0</v>
      </c>
      <c r="H149" s="366"/>
      <c r="I149" s="367"/>
      <c r="J149" s="365">
        <f>잔액!C29</f>
        <v>0</v>
      </c>
      <c r="K149" s="366"/>
      <c r="L149" s="367"/>
      <c r="M149" s="365">
        <f t="shared" si="7"/>
        <v>0</v>
      </c>
      <c r="N149" s="366"/>
      <c r="O149" s="367"/>
      <c r="P149" s="368" t="b">
        <f t="shared" si="8"/>
        <v>1</v>
      </c>
      <c r="Q149" s="367"/>
    </row>
    <row r="150" spans="1:17" ht="24" customHeight="1">
      <c r="A150" s="372" t="s">
        <v>299</v>
      </c>
      <c r="B150" s="367"/>
      <c r="C150" s="372" t="s">
        <v>22</v>
      </c>
      <c r="D150" s="366"/>
      <c r="E150" s="366"/>
      <c r="F150" s="367"/>
      <c r="G150" s="365">
        <v>2151</v>
      </c>
      <c r="H150" s="366"/>
      <c r="I150" s="367"/>
      <c r="J150" s="365">
        <f>잔액!D29</f>
        <v>2151</v>
      </c>
      <c r="K150" s="366"/>
      <c r="L150" s="367"/>
      <c r="M150" s="365">
        <f t="shared" si="7"/>
        <v>0</v>
      </c>
      <c r="N150" s="366"/>
      <c r="O150" s="367"/>
      <c r="P150" s="368" t="b">
        <f t="shared" si="8"/>
        <v>1</v>
      </c>
      <c r="Q150" s="367"/>
    </row>
    <row r="151" spans="1:17" ht="24" customHeight="1">
      <c r="A151" s="372" t="s">
        <v>300</v>
      </c>
      <c r="B151" s="367"/>
      <c r="C151" s="372" t="s">
        <v>22</v>
      </c>
      <c r="D151" s="366"/>
      <c r="E151" s="366"/>
      <c r="F151" s="367"/>
      <c r="G151" s="365">
        <v>1137</v>
      </c>
      <c r="H151" s="366"/>
      <c r="I151" s="367"/>
      <c r="J151" s="365">
        <f>잔액!E29</f>
        <v>1137</v>
      </c>
      <c r="K151" s="366"/>
      <c r="L151" s="367"/>
      <c r="M151" s="365">
        <f t="shared" si="7"/>
        <v>0</v>
      </c>
      <c r="N151" s="366"/>
      <c r="O151" s="367"/>
      <c r="P151" s="368" t="b">
        <f t="shared" si="8"/>
        <v>1</v>
      </c>
      <c r="Q151" s="367"/>
    </row>
    <row r="152" spans="1:17" ht="24" customHeight="1">
      <c r="A152" s="372" t="s">
        <v>301</v>
      </c>
      <c r="B152" s="367"/>
      <c r="C152" s="372" t="s">
        <v>22</v>
      </c>
      <c r="D152" s="366"/>
      <c r="E152" s="366"/>
      <c r="F152" s="367"/>
      <c r="G152" s="365">
        <v>4897</v>
      </c>
      <c r="H152" s="366"/>
      <c r="I152" s="367"/>
      <c r="J152" s="365">
        <f>잔액!F29</f>
        <v>4897</v>
      </c>
      <c r="K152" s="366"/>
      <c r="L152" s="367"/>
      <c r="M152" s="365">
        <f t="shared" si="7"/>
        <v>0</v>
      </c>
      <c r="N152" s="366"/>
      <c r="O152" s="367"/>
      <c r="P152" s="368" t="b">
        <f t="shared" si="8"/>
        <v>1</v>
      </c>
      <c r="Q152" s="367"/>
    </row>
    <row r="153" spans="1:17" ht="24" customHeight="1">
      <c r="A153" s="372" t="s">
        <v>302</v>
      </c>
      <c r="B153" s="367"/>
      <c r="C153" s="372" t="s">
        <v>22</v>
      </c>
      <c r="D153" s="366"/>
      <c r="E153" s="366"/>
      <c r="F153" s="367"/>
      <c r="G153" s="365">
        <v>27858</v>
      </c>
      <c r="H153" s="366"/>
      <c r="I153" s="367"/>
      <c r="J153" s="365">
        <f>잔액!G29</f>
        <v>27858</v>
      </c>
      <c r="K153" s="366"/>
      <c r="L153" s="367"/>
      <c r="M153" s="365">
        <f t="shared" si="7"/>
        <v>0</v>
      </c>
      <c r="N153" s="366"/>
      <c r="O153" s="367"/>
      <c r="P153" s="368" t="b">
        <f t="shared" si="8"/>
        <v>1</v>
      </c>
      <c r="Q153" s="367"/>
    </row>
    <row r="154" spans="1:17" ht="24" customHeight="1">
      <c r="A154" s="372" t="s">
        <v>303</v>
      </c>
      <c r="B154" s="367"/>
      <c r="C154" s="372" t="s">
        <v>22</v>
      </c>
      <c r="D154" s="366"/>
      <c r="E154" s="366"/>
      <c r="F154" s="367"/>
      <c r="G154" s="365">
        <v>0</v>
      </c>
      <c r="H154" s="366"/>
      <c r="I154" s="367"/>
      <c r="J154" s="365">
        <f>잔액!H29</f>
        <v>0</v>
      </c>
      <c r="K154" s="366"/>
      <c r="L154" s="367"/>
      <c r="M154" s="365">
        <f t="shared" si="7"/>
        <v>0</v>
      </c>
      <c r="N154" s="366"/>
      <c r="O154" s="367"/>
      <c r="P154" s="368" t="b">
        <f t="shared" si="8"/>
        <v>1</v>
      </c>
      <c r="Q154" s="367"/>
    </row>
    <row r="155" spans="1:17" ht="24" customHeight="1">
      <c r="A155" s="372" t="s">
        <v>304</v>
      </c>
      <c r="B155" s="367"/>
      <c r="C155" s="372" t="s">
        <v>22</v>
      </c>
      <c r="D155" s="366"/>
      <c r="E155" s="366"/>
      <c r="F155" s="367"/>
      <c r="G155" s="365">
        <v>0</v>
      </c>
      <c r="H155" s="366"/>
      <c r="I155" s="367"/>
      <c r="J155" s="365">
        <f>잔액!I29</f>
        <v>0</v>
      </c>
      <c r="K155" s="366"/>
      <c r="L155" s="367"/>
      <c r="M155" s="365">
        <f t="shared" si="7"/>
        <v>0</v>
      </c>
      <c r="N155" s="366"/>
      <c r="O155" s="367"/>
      <c r="P155" s="368" t="b">
        <f t="shared" si="8"/>
        <v>1</v>
      </c>
      <c r="Q155" s="367"/>
    </row>
    <row r="156" spans="1:17" ht="24" customHeight="1">
      <c r="A156" s="372" t="s">
        <v>298</v>
      </c>
      <c r="B156" s="367"/>
      <c r="C156" s="372" t="s">
        <v>23</v>
      </c>
      <c r="D156" s="366"/>
      <c r="E156" s="366"/>
      <c r="F156" s="367"/>
      <c r="G156" s="365">
        <v>2042224</v>
      </c>
      <c r="H156" s="366"/>
      <c r="I156" s="367"/>
      <c r="J156" s="365">
        <f>잔액!C30</f>
        <v>2042224</v>
      </c>
      <c r="K156" s="366"/>
      <c r="L156" s="367"/>
      <c r="M156" s="365">
        <f t="shared" si="7"/>
        <v>0</v>
      </c>
      <c r="N156" s="366"/>
      <c r="O156" s="367"/>
      <c r="P156" s="368" t="b">
        <f t="shared" si="8"/>
        <v>1</v>
      </c>
      <c r="Q156" s="367"/>
    </row>
    <row r="157" spans="1:17" ht="24" customHeight="1">
      <c r="A157" s="372" t="s">
        <v>299</v>
      </c>
      <c r="B157" s="367"/>
      <c r="C157" s="372" t="s">
        <v>23</v>
      </c>
      <c r="D157" s="366"/>
      <c r="E157" s="366"/>
      <c r="F157" s="367"/>
      <c r="G157" s="365">
        <v>2548910</v>
      </c>
      <c r="H157" s="366"/>
      <c r="I157" s="367"/>
      <c r="J157" s="365">
        <f>잔액!D30</f>
        <v>2548910</v>
      </c>
      <c r="K157" s="366"/>
      <c r="L157" s="367"/>
      <c r="M157" s="365">
        <f t="shared" si="7"/>
        <v>0</v>
      </c>
      <c r="N157" s="366"/>
      <c r="O157" s="367"/>
      <c r="P157" s="368" t="b">
        <f t="shared" si="8"/>
        <v>1</v>
      </c>
      <c r="Q157" s="367"/>
    </row>
    <row r="158" spans="1:17" ht="24" customHeight="1">
      <c r="A158" s="372" t="s">
        <v>300</v>
      </c>
      <c r="B158" s="367"/>
      <c r="C158" s="372" t="s">
        <v>23</v>
      </c>
      <c r="D158" s="366"/>
      <c r="E158" s="366"/>
      <c r="F158" s="367"/>
      <c r="G158" s="365">
        <v>2042174</v>
      </c>
      <c r="H158" s="366"/>
      <c r="I158" s="367"/>
      <c r="J158" s="365">
        <f>잔액!E30</f>
        <v>2042174</v>
      </c>
      <c r="K158" s="366"/>
      <c r="L158" s="367"/>
      <c r="M158" s="365">
        <f t="shared" si="7"/>
        <v>0</v>
      </c>
      <c r="N158" s="366"/>
      <c r="O158" s="367"/>
      <c r="P158" s="368" t="b">
        <f t="shared" si="8"/>
        <v>1</v>
      </c>
      <c r="Q158" s="367"/>
    </row>
    <row r="159" spans="1:17" ht="24" customHeight="1">
      <c r="A159" s="372" t="s">
        <v>301</v>
      </c>
      <c r="B159" s="367"/>
      <c r="C159" s="372" t="s">
        <v>23</v>
      </c>
      <c r="D159" s="366"/>
      <c r="E159" s="366"/>
      <c r="F159" s="367"/>
      <c r="G159" s="365">
        <v>6188750</v>
      </c>
      <c r="H159" s="366"/>
      <c r="I159" s="367"/>
      <c r="J159" s="365">
        <f>잔액!F30</f>
        <v>6188750</v>
      </c>
      <c r="K159" s="366"/>
      <c r="L159" s="367"/>
      <c r="M159" s="365">
        <f t="shared" si="7"/>
        <v>0</v>
      </c>
      <c r="N159" s="366"/>
      <c r="O159" s="367"/>
      <c r="P159" s="368" t="b">
        <f t="shared" si="8"/>
        <v>1</v>
      </c>
      <c r="Q159" s="367"/>
    </row>
    <row r="160" spans="1:17" ht="24" customHeight="1">
      <c r="A160" s="372" t="s">
        <v>302</v>
      </c>
      <c r="B160" s="367"/>
      <c r="C160" s="372" t="s">
        <v>23</v>
      </c>
      <c r="D160" s="366"/>
      <c r="E160" s="366"/>
      <c r="F160" s="367"/>
      <c r="G160" s="365">
        <v>11338850</v>
      </c>
      <c r="H160" s="366"/>
      <c r="I160" s="367"/>
      <c r="J160" s="365">
        <f>잔액!G30</f>
        <v>11338850</v>
      </c>
      <c r="K160" s="366"/>
      <c r="L160" s="367"/>
      <c r="M160" s="365">
        <f t="shared" si="7"/>
        <v>0</v>
      </c>
      <c r="N160" s="366"/>
      <c r="O160" s="367"/>
      <c r="P160" s="368" t="b">
        <f t="shared" si="8"/>
        <v>1</v>
      </c>
      <c r="Q160" s="367"/>
    </row>
    <row r="161" spans="1:17" ht="24" customHeight="1">
      <c r="A161" s="372" t="s">
        <v>303</v>
      </c>
      <c r="B161" s="367"/>
      <c r="C161" s="372" t="s">
        <v>23</v>
      </c>
      <c r="D161" s="366"/>
      <c r="E161" s="366"/>
      <c r="F161" s="367"/>
      <c r="G161" s="365">
        <v>9495719</v>
      </c>
      <c r="H161" s="366"/>
      <c r="I161" s="367"/>
      <c r="J161" s="365">
        <f>잔액!H30</f>
        <v>9495719</v>
      </c>
      <c r="K161" s="366"/>
      <c r="L161" s="367"/>
      <c r="M161" s="365">
        <f t="shared" si="7"/>
        <v>0</v>
      </c>
      <c r="N161" s="366"/>
      <c r="O161" s="367"/>
      <c r="P161" s="368" t="b">
        <f t="shared" si="8"/>
        <v>1</v>
      </c>
      <c r="Q161" s="367"/>
    </row>
    <row r="162" spans="1:17" ht="24" customHeight="1">
      <c r="A162" s="372" t="s">
        <v>304</v>
      </c>
      <c r="B162" s="367"/>
      <c r="C162" s="372" t="s">
        <v>23</v>
      </c>
      <c r="D162" s="366"/>
      <c r="E162" s="366"/>
      <c r="F162" s="367"/>
      <c r="G162" s="365">
        <v>0</v>
      </c>
      <c r="H162" s="366"/>
      <c r="I162" s="367"/>
      <c r="J162" s="365">
        <f>잔액!I30</f>
        <v>0</v>
      </c>
      <c r="K162" s="366"/>
      <c r="L162" s="367"/>
      <c r="M162" s="365">
        <f t="shared" si="7"/>
        <v>0</v>
      </c>
      <c r="N162" s="366"/>
      <c r="O162" s="367"/>
      <c r="P162" s="368" t="b">
        <f t="shared" si="8"/>
        <v>1</v>
      </c>
      <c r="Q162" s="367"/>
    </row>
    <row r="164" spans="1:17">
      <c r="A164" s="374" t="s">
        <v>324</v>
      </c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6"/>
    </row>
    <row r="165" spans="1:17">
      <c r="A165" s="377"/>
      <c r="B165" s="378"/>
      <c r="C165" s="378"/>
      <c r="D165" s="378"/>
      <c r="E165" s="378"/>
      <c r="F165" s="378"/>
      <c r="G165" s="378"/>
      <c r="H165" s="378"/>
      <c r="I165" s="378"/>
      <c r="J165" s="378"/>
      <c r="K165" s="378"/>
      <c r="L165" s="378"/>
      <c r="M165" s="378"/>
      <c r="N165" s="378"/>
      <c r="O165" s="378"/>
      <c r="P165" s="378"/>
      <c r="Q165" s="379"/>
    </row>
    <row r="167" spans="1:17">
      <c r="A167" s="373" t="s">
        <v>325</v>
      </c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7"/>
    </row>
    <row r="168" spans="1:17" ht="25" customHeight="1">
      <c r="A168" s="372" t="s">
        <v>326</v>
      </c>
      <c r="B168" s="366"/>
      <c r="C168" s="366"/>
      <c r="D168" s="366"/>
      <c r="E168" s="366"/>
      <c r="F168" s="366"/>
      <c r="G168" s="366"/>
      <c r="H168" s="367"/>
      <c r="I168" s="365">
        <f>잔액!B16</f>
        <v>8538603</v>
      </c>
      <c r="J168" s="366"/>
      <c r="K168" s="366"/>
      <c r="L168" s="367"/>
      <c r="M168" s="368" t="b">
        <f>I168=8538603</f>
        <v>1</v>
      </c>
      <c r="N168" s="366"/>
      <c r="O168" s="366"/>
      <c r="P168" s="366"/>
      <c r="Q168" s="367"/>
    </row>
    <row r="169" spans="1:17" ht="25" customHeight="1">
      <c r="A169" s="372" t="s">
        <v>327</v>
      </c>
      <c r="B169" s="366"/>
      <c r="C169" s="366"/>
      <c r="D169" s="366"/>
      <c r="E169" s="366"/>
      <c r="F169" s="366"/>
      <c r="G169" s="366"/>
      <c r="H169" s="367"/>
      <c r="I169" s="365">
        <f>SUMIFS(RAW!G2323:G2453,RAW!R2323:R2453,"WRAP",RAW!S2323:S2453,"입금")</f>
        <v>8557</v>
      </c>
      <c r="J169" s="366"/>
      <c r="K169" s="366"/>
      <c r="L169" s="367"/>
      <c r="M169" s="368" t="b">
        <f>I169=8557</f>
        <v>1</v>
      </c>
      <c r="N169" s="366"/>
      <c r="O169" s="366"/>
      <c r="P169" s="366"/>
      <c r="Q169" s="367"/>
    </row>
    <row r="170" spans="1:17" ht="25" customHeight="1">
      <c r="A170" s="372" t="s">
        <v>328</v>
      </c>
      <c r="B170" s="366"/>
      <c r="C170" s="366"/>
      <c r="D170" s="366"/>
      <c r="E170" s="366"/>
      <c r="F170" s="366"/>
      <c r="G170" s="366"/>
      <c r="H170" s="367"/>
      <c r="I170" s="365">
        <f>SUMIFS(RAW!G2323:G2453,RAW!R2323:R2453,"WRAP",RAW!S2323:S2453,"이체입금")</f>
        <v>626510</v>
      </c>
      <c r="J170" s="366"/>
      <c r="K170" s="366"/>
      <c r="L170" s="367"/>
      <c r="M170" s="368" t="b">
        <f>I170=626510</f>
        <v>1</v>
      </c>
      <c r="N170" s="366"/>
      <c r="O170" s="366"/>
      <c r="P170" s="366"/>
      <c r="Q170" s="367"/>
    </row>
    <row r="171" spans="1:17" ht="25" customHeight="1">
      <c r="A171" s="372" t="s">
        <v>329</v>
      </c>
      <c r="B171" s="366"/>
      <c r="C171" s="366"/>
      <c r="D171" s="366"/>
      <c r="E171" s="366"/>
      <c r="F171" s="366"/>
      <c r="G171" s="366"/>
      <c r="H171" s="367"/>
      <c r="I171" s="365">
        <f>SUMIFS(RAW!G2323:G2453,RAW!R2323:R2453,"WRAP",RAW!S2323:S2453,"이체출금")</f>
        <v>2537839</v>
      </c>
      <c r="J171" s="366"/>
      <c r="K171" s="366"/>
      <c r="L171" s="367"/>
      <c r="M171" s="368" t="b">
        <f>I171=2537839</f>
        <v>1</v>
      </c>
      <c r="N171" s="366"/>
      <c r="O171" s="366"/>
      <c r="P171" s="366"/>
      <c r="Q171" s="367"/>
    </row>
    <row r="172" spans="1:17" ht="25" customHeight="1">
      <c r="A172" s="372" t="s">
        <v>330</v>
      </c>
      <c r="B172" s="366"/>
      <c r="C172" s="366"/>
      <c r="D172" s="366"/>
      <c r="E172" s="366"/>
      <c r="F172" s="366"/>
      <c r="G172" s="366"/>
      <c r="H172" s="367"/>
      <c r="I172" s="365">
        <f>SUMIFS(RAW!G2323:G2453,RAW!R2323:R2453,"WRAP",RAW!S2323:S2453,"출금")</f>
        <v>11900</v>
      </c>
      <c r="J172" s="366"/>
      <c r="K172" s="366"/>
      <c r="L172" s="367"/>
      <c r="M172" s="368" t="b">
        <f>I172=11900</f>
        <v>1</v>
      </c>
      <c r="N172" s="366"/>
      <c r="O172" s="366"/>
      <c r="P172" s="366"/>
      <c r="Q172" s="367"/>
    </row>
    <row r="173" spans="1:17" ht="25" customHeight="1">
      <c r="A173" s="372" t="s">
        <v>331</v>
      </c>
      <c r="B173" s="366"/>
      <c r="C173" s="366"/>
      <c r="D173" s="366"/>
      <c r="E173" s="366"/>
      <c r="F173" s="366"/>
      <c r="G173" s="366"/>
      <c r="H173" s="367"/>
      <c r="I173" s="365">
        <f>COUNTIFS(잔액!A231:A242,"&lt;&gt;",잔액!J231:J242,"&lt;&gt;미래에셋_WRAP형CMA",잔액!K231:K242,"&lt;&gt;미래에셋_WRAP형CMA")</f>
        <v>0</v>
      </c>
      <c r="J173" s="366"/>
      <c r="K173" s="366"/>
      <c r="L173" s="367"/>
      <c r="M173" s="368" t="b">
        <f>I173=0</f>
        <v>1</v>
      </c>
      <c r="N173" s="366"/>
      <c r="O173" s="366"/>
      <c r="P173" s="366"/>
      <c r="Q173" s="367"/>
    </row>
    <row r="174" spans="1:17" ht="25" customHeight="1">
      <c r="A174" s="372" t="s">
        <v>332</v>
      </c>
      <c r="B174" s="366"/>
      <c r="C174" s="366"/>
      <c r="D174" s="366"/>
      <c r="E174" s="366"/>
      <c r="F174" s="366"/>
      <c r="G174" s="366"/>
      <c r="H174" s="367"/>
      <c r="I174" s="365">
        <f>I168+I169+I170-I171-I172</f>
        <v>6623931</v>
      </c>
      <c r="J174" s="366"/>
      <c r="K174" s="366"/>
      <c r="L174" s="367"/>
      <c r="M174" s="368" t="b">
        <f>I174=6623931</f>
        <v>1</v>
      </c>
      <c r="N174" s="366"/>
      <c r="O174" s="366"/>
      <c r="P174" s="366"/>
      <c r="Q174" s="367"/>
    </row>
    <row r="175" spans="1:17" ht="25" customHeight="1">
      <c r="A175" s="372" t="s">
        <v>333</v>
      </c>
      <c r="B175" s="366"/>
      <c r="C175" s="366"/>
      <c r="D175" s="366"/>
      <c r="E175" s="366"/>
      <c r="F175" s="366"/>
      <c r="G175" s="366"/>
      <c r="H175" s="367"/>
      <c r="I175" s="365">
        <f>잔액!G16-I174</f>
        <v>0</v>
      </c>
      <c r="J175" s="366"/>
      <c r="K175" s="366"/>
      <c r="L175" s="367"/>
      <c r="M175" s="368" t="b">
        <f>I175=0</f>
        <v>1</v>
      </c>
      <c r="N175" s="366"/>
      <c r="O175" s="366"/>
      <c r="P175" s="366"/>
      <c r="Q175" s="367"/>
    </row>
    <row r="178" spans="1:17" ht="30" customHeight="1">
      <c r="A178" s="398" t="s">
        <v>334</v>
      </c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2"/>
    </row>
    <row r="179" spans="1:17" ht="28" customHeight="1">
      <c r="A179" s="359" t="s">
        <v>335</v>
      </c>
      <c r="B179" s="381"/>
      <c r="C179" s="381"/>
      <c r="D179" s="381"/>
      <c r="E179" s="381"/>
      <c r="F179" s="381"/>
      <c r="G179" s="381"/>
      <c r="H179" s="382"/>
      <c r="I179" s="380">
        <f>예비비!J72</f>
        <v>0</v>
      </c>
      <c r="J179" s="381"/>
      <c r="K179" s="381"/>
      <c r="L179" s="382"/>
      <c r="M179" s="386" t="b">
        <f>예비비!L72</f>
        <v>1</v>
      </c>
      <c r="N179" s="381"/>
      <c r="O179" s="381"/>
      <c r="P179" s="381"/>
      <c r="Q179" s="382"/>
    </row>
    <row r="180" spans="1:17" ht="28" customHeight="1">
      <c r="A180" s="359" t="s">
        <v>336</v>
      </c>
      <c r="B180" s="381"/>
      <c r="C180" s="381"/>
      <c r="D180" s="381"/>
      <c r="E180" s="381"/>
      <c r="F180" s="381"/>
      <c r="G180" s="381"/>
      <c r="H180" s="382"/>
      <c r="I180" s="380">
        <f>예비비!J73</f>
        <v>1400000</v>
      </c>
      <c r="J180" s="381"/>
      <c r="K180" s="381"/>
      <c r="L180" s="382"/>
      <c r="M180" s="386" t="b">
        <f>예비비!L73</f>
        <v>1</v>
      </c>
      <c r="N180" s="381"/>
      <c r="O180" s="381"/>
      <c r="P180" s="381"/>
      <c r="Q180" s="382"/>
    </row>
    <row r="181" spans="1:17" ht="28" customHeight="1">
      <c r="A181" s="359" t="s">
        <v>337</v>
      </c>
      <c r="B181" s="381"/>
      <c r="C181" s="381"/>
      <c r="D181" s="381"/>
      <c r="E181" s="381"/>
      <c r="F181" s="381"/>
      <c r="G181" s="381"/>
      <c r="H181" s="382"/>
      <c r="I181" s="380">
        <f>예비비!J74</f>
        <v>450000</v>
      </c>
      <c r="J181" s="381"/>
      <c r="K181" s="381"/>
      <c r="L181" s="382"/>
      <c r="M181" s="386" t="b">
        <f>예비비!L74</f>
        <v>1</v>
      </c>
      <c r="N181" s="381"/>
      <c r="O181" s="381"/>
      <c r="P181" s="381"/>
      <c r="Q181" s="382"/>
    </row>
    <row r="182" spans="1:17" ht="28" customHeight="1">
      <c r="A182" s="359" t="s">
        <v>338</v>
      </c>
      <c r="B182" s="381"/>
      <c r="C182" s="381"/>
      <c r="D182" s="381"/>
      <c r="E182" s="381"/>
      <c r="F182" s="381"/>
      <c r="G182" s="381"/>
      <c r="H182" s="382"/>
      <c r="I182" s="380">
        <f>예비비!J75</f>
        <v>300000</v>
      </c>
      <c r="J182" s="381"/>
      <c r="K182" s="381"/>
      <c r="L182" s="382"/>
      <c r="M182" s="386" t="b">
        <f>예비비!L75</f>
        <v>1</v>
      </c>
      <c r="N182" s="381"/>
      <c r="O182" s="381"/>
      <c r="P182" s="381"/>
      <c r="Q182" s="382"/>
    </row>
    <row r="183" spans="1:17" ht="28" customHeight="1">
      <c r="A183" s="359" t="s">
        <v>339</v>
      </c>
      <c r="B183" s="381"/>
      <c r="C183" s="381"/>
      <c r="D183" s="381"/>
      <c r="E183" s="381"/>
      <c r="F183" s="381"/>
      <c r="G183" s="381"/>
      <c r="H183" s="382"/>
      <c r="I183" s="380">
        <f>예비비!J76</f>
        <v>0</v>
      </c>
      <c r="J183" s="381"/>
      <c r="K183" s="381"/>
      <c r="L183" s="382"/>
      <c r="M183" s="386" t="b">
        <f>예비비!L76</f>
        <v>1</v>
      </c>
      <c r="N183" s="381"/>
      <c r="O183" s="381"/>
      <c r="P183" s="381"/>
      <c r="Q183" s="382"/>
    </row>
    <row r="184" spans="1:17" ht="28" customHeight="1">
      <c r="A184" s="359" t="s">
        <v>340</v>
      </c>
      <c r="B184" s="381"/>
      <c r="C184" s="381"/>
      <c r="D184" s="381"/>
      <c r="E184" s="381"/>
      <c r="F184" s="381"/>
      <c r="G184" s="381"/>
      <c r="H184" s="382"/>
      <c r="I184" s="380">
        <f>예비비!J77</f>
        <v>2150000</v>
      </c>
      <c r="J184" s="381"/>
      <c r="K184" s="381"/>
      <c r="L184" s="382"/>
      <c r="M184" s="386" t="b">
        <f>I184=예비비!G3</f>
        <v>1</v>
      </c>
      <c r="N184" s="381"/>
      <c r="O184" s="381"/>
      <c r="P184" s="381"/>
      <c r="Q184" s="382"/>
    </row>
    <row r="185" spans="1:17" ht="28" customHeight="1">
      <c r="A185" s="359" t="s">
        <v>341</v>
      </c>
      <c r="B185" s="381"/>
      <c r="C185" s="381"/>
      <c r="D185" s="381"/>
      <c r="E185" s="381"/>
      <c r="F185" s="381"/>
      <c r="G185" s="381"/>
      <c r="H185" s="382"/>
      <c r="I185" s="380">
        <f>예비비!J77-SUM(예비비!B77,예비비!D77,예비비!F77,예비비!H77)</f>
        <v>0</v>
      </c>
      <c r="J185" s="381"/>
      <c r="K185" s="381"/>
      <c r="L185" s="382"/>
      <c r="M185" s="386" t="b">
        <f>I185=0</f>
        <v>1</v>
      </c>
      <c r="N185" s="381"/>
      <c r="O185" s="381"/>
      <c r="P185" s="381"/>
      <c r="Q185" s="382"/>
    </row>
    <row r="186" spans="1:17" ht="28" customHeight="1">
      <c r="A186" s="359" t="s">
        <v>342</v>
      </c>
      <c r="B186" s="381"/>
      <c r="C186" s="381"/>
      <c r="D186" s="381"/>
      <c r="E186" s="381"/>
      <c r="F186" s="381"/>
      <c r="G186" s="381"/>
      <c r="H186" s="382"/>
      <c r="I186" s="380">
        <f>예비비!W19-(예비비!U18-예비비!V19-예비비!W32)</f>
        <v>0</v>
      </c>
      <c r="J186" s="381"/>
      <c r="K186" s="381"/>
      <c r="L186" s="382"/>
      <c r="M186" s="386" t="b">
        <f>I186=0</f>
        <v>1</v>
      </c>
      <c r="N186" s="381"/>
      <c r="O186" s="381"/>
      <c r="P186" s="381"/>
      <c r="Q186" s="382"/>
    </row>
    <row r="188" spans="1:17" ht="23" customHeight="1">
      <c r="A188" s="359" t="s">
        <v>343</v>
      </c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1"/>
    </row>
    <row r="189" spans="1:17" ht="23" customHeight="1">
      <c r="A189" s="362"/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4"/>
    </row>
  </sheetData>
  <autoFilter ref="A4:Q16" xr:uid="{00000000-0009-0000-0000-000001000000}"/>
  <mergeCells count="577">
    <mergeCell ref="A181:H181"/>
    <mergeCell ref="G117:I117"/>
    <mergeCell ref="A125:B125"/>
    <mergeCell ref="C118:F118"/>
    <mergeCell ref="J156:L156"/>
    <mergeCell ref="M179:Q179"/>
    <mergeCell ref="A112:B112"/>
    <mergeCell ref="J131:L131"/>
    <mergeCell ref="A52:H52"/>
    <mergeCell ref="J155:L155"/>
    <mergeCell ref="G132:I132"/>
    <mergeCell ref="A127:B127"/>
    <mergeCell ref="A114:B114"/>
    <mergeCell ref="G162:I162"/>
    <mergeCell ref="A138:B138"/>
    <mergeCell ref="A132:B132"/>
    <mergeCell ref="A168:H168"/>
    <mergeCell ref="J100:L100"/>
    <mergeCell ref="M139:O139"/>
    <mergeCell ref="G148:I148"/>
    <mergeCell ref="M88:Q88"/>
    <mergeCell ref="M82:Q82"/>
    <mergeCell ref="C154:F154"/>
    <mergeCell ref="G114:I114"/>
    <mergeCell ref="M90:Q90"/>
    <mergeCell ref="J125:L125"/>
    <mergeCell ref="C156:F156"/>
    <mergeCell ref="P145:Q145"/>
    <mergeCell ref="G143:I143"/>
    <mergeCell ref="G99:I99"/>
    <mergeCell ref="P160:Q160"/>
    <mergeCell ref="J154:L154"/>
    <mergeCell ref="P147:Q147"/>
    <mergeCell ref="C103:F103"/>
    <mergeCell ref="P122:Q122"/>
    <mergeCell ref="J120:L120"/>
    <mergeCell ref="G130:I130"/>
    <mergeCell ref="M186:Q186"/>
    <mergeCell ref="I35:L35"/>
    <mergeCell ref="A64:H64"/>
    <mergeCell ref="P119:Q119"/>
    <mergeCell ref="M149:O149"/>
    <mergeCell ref="J104:L104"/>
    <mergeCell ref="I172:L172"/>
    <mergeCell ref="A178:Q178"/>
    <mergeCell ref="G108:I108"/>
    <mergeCell ref="M124:O124"/>
    <mergeCell ref="C102:F102"/>
    <mergeCell ref="A77:D77"/>
    <mergeCell ref="M151:O151"/>
    <mergeCell ref="M126:O126"/>
    <mergeCell ref="C160:F160"/>
    <mergeCell ref="C141:F141"/>
    <mergeCell ref="G109:I109"/>
    <mergeCell ref="J129:L129"/>
    <mergeCell ref="A104:B104"/>
    <mergeCell ref="J110:L110"/>
    <mergeCell ref="M77:Q77"/>
    <mergeCell ref="C143:F143"/>
    <mergeCell ref="G111:I111"/>
    <mergeCell ref="I175:L175"/>
    <mergeCell ref="A188:Q189"/>
    <mergeCell ref="M69:Q69"/>
    <mergeCell ref="A172:H172"/>
    <mergeCell ref="M136:O136"/>
    <mergeCell ref="P124:Q124"/>
    <mergeCell ref="A25:Q25"/>
    <mergeCell ref="J106:L106"/>
    <mergeCell ref="J133:L133"/>
    <mergeCell ref="M134:O134"/>
    <mergeCell ref="P126:Q126"/>
    <mergeCell ref="G159:I159"/>
    <mergeCell ref="M121:O121"/>
    <mergeCell ref="G134:I134"/>
    <mergeCell ref="M37:Q37"/>
    <mergeCell ref="C147:F147"/>
    <mergeCell ref="A116:B116"/>
    <mergeCell ref="J135:L135"/>
    <mergeCell ref="G161:I161"/>
    <mergeCell ref="J122:L122"/>
    <mergeCell ref="M185:Q185"/>
    <mergeCell ref="M38:Q38"/>
    <mergeCell ref="C148:F148"/>
    <mergeCell ref="A155:B155"/>
    <mergeCell ref="P142:Q142"/>
    <mergeCell ref="M183:Q183"/>
    <mergeCell ref="P116:Q116"/>
    <mergeCell ref="P103:Q103"/>
    <mergeCell ref="M146:O146"/>
    <mergeCell ref="P134:Q134"/>
    <mergeCell ref="A175:H175"/>
    <mergeCell ref="C134:F134"/>
    <mergeCell ref="M41:Q41"/>
    <mergeCell ref="G115:I115"/>
    <mergeCell ref="M123:O123"/>
    <mergeCell ref="M110:O110"/>
    <mergeCell ref="A170:H170"/>
    <mergeCell ref="M66:Q66"/>
    <mergeCell ref="M53:Q53"/>
    <mergeCell ref="G141:I141"/>
    <mergeCell ref="J107:L107"/>
    <mergeCell ref="M68:Q68"/>
    <mergeCell ref="P129:Q129"/>
    <mergeCell ref="M55:Q55"/>
    <mergeCell ref="C158:F158"/>
    <mergeCell ref="M67:Q67"/>
    <mergeCell ref="P131:Q131"/>
    <mergeCell ref="P117:Q117"/>
    <mergeCell ref="G156:I156"/>
    <mergeCell ref="A164:Q165"/>
    <mergeCell ref="M44:Q44"/>
    <mergeCell ref="A81:D81"/>
    <mergeCell ref="J119:L119"/>
    <mergeCell ref="M182:Q182"/>
    <mergeCell ref="C145:F145"/>
    <mergeCell ref="M169:Q169"/>
    <mergeCell ref="I90:L90"/>
    <mergeCell ref="G153:I153"/>
    <mergeCell ref="A154:B154"/>
    <mergeCell ref="A75:Q75"/>
    <mergeCell ref="A50:H50"/>
    <mergeCell ref="A157:B157"/>
    <mergeCell ref="I170:L170"/>
    <mergeCell ref="P144:Q144"/>
    <mergeCell ref="A106:B106"/>
    <mergeCell ref="J141:L141"/>
    <mergeCell ref="M142:O142"/>
    <mergeCell ref="M129:O129"/>
    <mergeCell ref="A62:Q62"/>
    <mergeCell ref="A173:H173"/>
    <mergeCell ref="M144:O144"/>
    <mergeCell ref="P132:Q132"/>
    <mergeCell ref="M87:Q87"/>
    <mergeCell ref="A161:B161"/>
    <mergeCell ref="C115:F115"/>
    <mergeCell ref="P148:Q148"/>
    <mergeCell ref="P123:Q123"/>
    <mergeCell ref="J117:L117"/>
    <mergeCell ref="P110:Q110"/>
    <mergeCell ref="C150:F150"/>
    <mergeCell ref="C144:F144"/>
    <mergeCell ref="M128:O128"/>
    <mergeCell ref="J132:L132"/>
    <mergeCell ref="A130:B130"/>
    <mergeCell ref="M137:O137"/>
    <mergeCell ref="A160:B160"/>
    <mergeCell ref="G140:I140"/>
    <mergeCell ref="M102:O102"/>
    <mergeCell ref="A141:B141"/>
    <mergeCell ref="A135:B135"/>
    <mergeCell ref="C117:F117"/>
    <mergeCell ref="A159:B159"/>
    <mergeCell ref="A84:D84"/>
    <mergeCell ref="A122:B122"/>
    <mergeCell ref="A91:H91"/>
    <mergeCell ref="A1:Q1"/>
    <mergeCell ref="C131:F131"/>
    <mergeCell ref="M120:O120"/>
    <mergeCell ref="A65:H65"/>
    <mergeCell ref="I65:L65"/>
    <mergeCell ref="M101:O101"/>
    <mergeCell ref="A158:B158"/>
    <mergeCell ref="G138:I138"/>
    <mergeCell ref="M100:O100"/>
    <mergeCell ref="C126:F126"/>
    <mergeCell ref="P120:Q120"/>
    <mergeCell ref="M115:O115"/>
    <mergeCell ref="P121:Q121"/>
    <mergeCell ref="A2:Q2"/>
    <mergeCell ref="A20:Q20"/>
    <mergeCell ref="M43:Q43"/>
    <mergeCell ref="A35:H35"/>
    <mergeCell ref="A39:H39"/>
    <mergeCell ref="M54:Q54"/>
    <mergeCell ref="M65:Q65"/>
    <mergeCell ref="I36:L36"/>
    <mergeCell ref="A21:Q21"/>
    <mergeCell ref="A57:H57"/>
    <mergeCell ref="A23:Q23"/>
    <mergeCell ref="A27:Q27"/>
    <mergeCell ref="C128:F128"/>
    <mergeCell ref="G150:I150"/>
    <mergeCell ref="M112:O112"/>
    <mergeCell ref="C113:F113"/>
    <mergeCell ref="A78:D78"/>
    <mergeCell ref="C100:F100"/>
    <mergeCell ref="M85:Q85"/>
    <mergeCell ref="M152:O152"/>
    <mergeCell ref="M127:O127"/>
    <mergeCell ref="M114:O114"/>
    <mergeCell ref="A80:D80"/>
    <mergeCell ref="C142:F142"/>
    <mergeCell ref="A147:B147"/>
    <mergeCell ref="C129:F129"/>
    <mergeCell ref="I87:L87"/>
    <mergeCell ref="J146:L146"/>
    <mergeCell ref="A148:B148"/>
    <mergeCell ref="P100:Q100"/>
    <mergeCell ref="I64:L64"/>
    <mergeCell ref="I51:L51"/>
    <mergeCell ref="A36:H36"/>
    <mergeCell ref="M105:O105"/>
    <mergeCell ref="A146:B146"/>
    <mergeCell ref="A28:Q28"/>
    <mergeCell ref="M157:O157"/>
    <mergeCell ref="J161:L161"/>
    <mergeCell ref="C123:F123"/>
    <mergeCell ref="M184:Q184"/>
    <mergeCell ref="C110:F110"/>
    <mergeCell ref="M171:Q171"/>
    <mergeCell ref="P104:Q104"/>
    <mergeCell ref="G137:I137"/>
    <mergeCell ref="A30:Q30"/>
    <mergeCell ref="M99:O99"/>
    <mergeCell ref="A119:B119"/>
    <mergeCell ref="M173:Q173"/>
    <mergeCell ref="J162:L162"/>
    <mergeCell ref="G139:I139"/>
    <mergeCell ref="A88:H88"/>
    <mergeCell ref="P105:Q105"/>
    <mergeCell ref="I69:L69"/>
    <mergeCell ref="A83:D83"/>
    <mergeCell ref="P99:Q99"/>
    <mergeCell ref="A54:H54"/>
    <mergeCell ref="A133:B133"/>
    <mergeCell ref="A41:H41"/>
    <mergeCell ref="A90:H90"/>
    <mergeCell ref="A186:H186"/>
    <mergeCell ref="A142:B142"/>
    <mergeCell ref="C135:F135"/>
    <mergeCell ref="A51:H51"/>
    <mergeCell ref="A46:Q47"/>
    <mergeCell ref="J148:L148"/>
    <mergeCell ref="G124:I124"/>
    <mergeCell ref="G142:I142"/>
    <mergeCell ref="A137:B137"/>
    <mergeCell ref="P155:Q155"/>
    <mergeCell ref="J105:L105"/>
    <mergeCell ref="J143:L143"/>
    <mergeCell ref="G144:I144"/>
    <mergeCell ref="A145:B145"/>
    <mergeCell ref="A139:B139"/>
    <mergeCell ref="G119:I119"/>
    <mergeCell ref="P157:Q157"/>
    <mergeCell ref="I183:L183"/>
    <mergeCell ref="M168:Q168"/>
    <mergeCell ref="M89:Q89"/>
    <mergeCell ref="I54:L54"/>
    <mergeCell ref="P150:Q150"/>
    <mergeCell ref="M162:O162"/>
    <mergeCell ref="I185:L185"/>
    <mergeCell ref="I66:L66"/>
    <mergeCell ref="I53:L53"/>
    <mergeCell ref="M76:Q76"/>
    <mergeCell ref="A38:H38"/>
    <mergeCell ref="A117:B117"/>
    <mergeCell ref="J136:L136"/>
    <mergeCell ref="A111:B111"/>
    <mergeCell ref="I68:L68"/>
    <mergeCell ref="A40:H40"/>
    <mergeCell ref="A67:H67"/>
    <mergeCell ref="M109:O109"/>
    <mergeCell ref="I41:L41"/>
    <mergeCell ref="I56:L56"/>
    <mergeCell ref="I43:L43"/>
    <mergeCell ref="P107:Q107"/>
    <mergeCell ref="P101:Q101"/>
    <mergeCell ref="A56:H56"/>
    <mergeCell ref="M125:O125"/>
    <mergeCell ref="A185:H185"/>
    <mergeCell ref="J111:L111"/>
    <mergeCell ref="M143:O143"/>
    <mergeCell ref="A134:B134"/>
    <mergeCell ref="A43:H43"/>
    <mergeCell ref="A121:B121"/>
    <mergeCell ref="J140:L140"/>
    <mergeCell ref="M63:Q63"/>
    <mergeCell ref="M50:Q50"/>
    <mergeCell ref="G116:I116"/>
    <mergeCell ref="I180:L180"/>
    <mergeCell ref="G103:I103"/>
    <mergeCell ref="M92:Q92"/>
    <mergeCell ref="G118:I118"/>
    <mergeCell ref="I182:L182"/>
    <mergeCell ref="I169:L169"/>
    <mergeCell ref="A162:B162"/>
    <mergeCell ref="P149:Q149"/>
    <mergeCell ref="A69:H69"/>
    <mergeCell ref="A183:H183"/>
    <mergeCell ref="M154:O154"/>
    <mergeCell ref="J158:L158"/>
    <mergeCell ref="P151:Q151"/>
    <mergeCell ref="C107:F107"/>
    <mergeCell ref="A180:H180"/>
    <mergeCell ref="A68:H68"/>
    <mergeCell ref="A19:Q19"/>
    <mergeCell ref="J152:L152"/>
    <mergeCell ref="M153:O153"/>
    <mergeCell ref="C106:F106"/>
    <mergeCell ref="G128:I128"/>
    <mergeCell ref="A123:B123"/>
    <mergeCell ref="A110:B110"/>
    <mergeCell ref="I63:L63"/>
    <mergeCell ref="G121:I121"/>
    <mergeCell ref="P159:Q159"/>
    <mergeCell ref="M79:Q79"/>
    <mergeCell ref="I50:L50"/>
    <mergeCell ref="M70:Q70"/>
    <mergeCell ref="A108:B108"/>
    <mergeCell ref="C101:F101"/>
    <mergeCell ref="J114:L114"/>
    <mergeCell ref="A118:B118"/>
    <mergeCell ref="A37:H37"/>
    <mergeCell ref="P136:Q136"/>
    <mergeCell ref="J134:L134"/>
    <mergeCell ref="M141:O141"/>
    <mergeCell ref="J145:L145"/>
    <mergeCell ref="A167:Q167"/>
    <mergeCell ref="P135:Q135"/>
    <mergeCell ref="I88:L88"/>
    <mergeCell ref="A182:H182"/>
    <mergeCell ref="J108:L108"/>
    <mergeCell ref="A169:H169"/>
    <mergeCell ref="M140:O140"/>
    <mergeCell ref="P128:Q128"/>
    <mergeCell ref="A98:Q98"/>
    <mergeCell ref="C155:F155"/>
    <mergeCell ref="M133:O133"/>
    <mergeCell ref="J137:L137"/>
    <mergeCell ref="J124:L124"/>
    <mergeCell ref="C157:F157"/>
    <mergeCell ref="J109:L109"/>
    <mergeCell ref="C151:F151"/>
    <mergeCell ref="G113:I113"/>
    <mergeCell ref="M135:O135"/>
    <mergeCell ref="A120:B120"/>
    <mergeCell ref="G100:I100"/>
    <mergeCell ref="J139:L139"/>
    <mergeCell ref="A179:H179"/>
    <mergeCell ref="J138:L138"/>
    <mergeCell ref="I179:L179"/>
    <mergeCell ref="M57:Q57"/>
    <mergeCell ref="A100:B100"/>
    <mergeCell ref="A22:Q22"/>
    <mergeCell ref="G145:I145"/>
    <mergeCell ref="M107:O107"/>
    <mergeCell ref="G120:I120"/>
    <mergeCell ref="A115:B115"/>
    <mergeCell ref="P133:Q133"/>
    <mergeCell ref="P127:Q127"/>
    <mergeCell ref="A102:B102"/>
    <mergeCell ref="I42:L42"/>
    <mergeCell ref="M138:O138"/>
    <mergeCell ref="A113:B113"/>
    <mergeCell ref="G102:I102"/>
    <mergeCell ref="M42:Q42"/>
    <mergeCell ref="I37:L37"/>
    <mergeCell ref="A53:H53"/>
    <mergeCell ref="I91:L91"/>
    <mergeCell ref="I38:L38"/>
    <mergeCell ref="I40:L40"/>
    <mergeCell ref="G129:I129"/>
    <mergeCell ref="J130:L130"/>
    <mergeCell ref="M81:Q81"/>
    <mergeCell ref="M131:O131"/>
    <mergeCell ref="A105:B105"/>
    <mergeCell ref="I89:L89"/>
    <mergeCell ref="J121:L121"/>
    <mergeCell ref="J115:L115"/>
    <mergeCell ref="G106:I106"/>
    <mergeCell ref="M122:O122"/>
    <mergeCell ref="C162:F162"/>
    <mergeCell ref="J126:L126"/>
    <mergeCell ref="P102:Q102"/>
    <mergeCell ref="G105:I105"/>
    <mergeCell ref="G147:I147"/>
    <mergeCell ref="G158:I158"/>
    <mergeCell ref="C152:F152"/>
    <mergeCell ref="P146:Q146"/>
    <mergeCell ref="M156:O156"/>
    <mergeCell ref="J160:L160"/>
    <mergeCell ref="G131:I131"/>
    <mergeCell ref="J159:L159"/>
    <mergeCell ref="C121:F121"/>
    <mergeCell ref="J153:L153"/>
    <mergeCell ref="A126:B126"/>
    <mergeCell ref="A109:B109"/>
    <mergeCell ref="C146:F146"/>
    <mergeCell ref="P152:Q152"/>
    <mergeCell ref="A32:Q32"/>
    <mergeCell ref="G155:I155"/>
    <mergeCell ref="M117:O117"/>
    <mergeCell ref="C105:F105"/>
    <mergeCell ref="M132:O132"/>
    <mergeCell ref="I186:L186"/>
    <mergeCell ref="G157:I157"/>
    <mergeCell ref="M119:O119"/>
    <mergeCell ref="C120:F120"/>
    <mergeCell ref="A85:D85"/>
    <mergeCell ref="G122:I122"/>
    <mergeCell ref="J123:L123"/>
    <mergeCell ref="G101:I101"/>
    <mergeCell ref="P139:Q139"/>
    <mergeCell ref="M181:Q181"/>
    <mergeCell ref="M83:Q83"/>
    <mergeCell ref="P114:Q114"/>
    <mergeCell ref="C149:F149"/>
    <mergeCell ref="M52:Q52"/>
    <mergeCell ref="G152:I152"/>
    <mergeCell ref="M39:Q39"/>
    <mergeCell ref="J113:L113"/>
    <mergeCell ref="M174:Q174"/>
    <mergeCell ref="J149:L149"/>
    <mergeCell ref="A26:Q26"/>
    <mergeCell ref="G149:I149"/>
    <mergeCell ref="M36:Q36"/>
    <mergeCell ref="A150:B150"/>
    <mergeCell ref="A144:B144"/>
    <mergeCell ref="C99:F99"/>
    <mergeCell ref="P162:Q162"/>
    <mergeCell ref="P137:Q137"/>
    <mergeCell ref="A184:H184"/>
    <mergeCell ref="G151:I151"/>
    <mergeCell ref="P106:Q106"/>
    <mergeCell ref="A152:B152"/>
    <mergeCell ref="A171:H171"/>
    <mergeCell ref="G126:I126"/>
    <mergeCell ref="C130:F130"/>
    <mergeCell ref="I92:L92"/>
    <mergeCell ref="I55:L55"/>
    <mergeCell ref="I67:L67"/>
    <mergeCell ref="J99:L99"/>
    <mergeCell ref="C159:F159"/>
    <mergeCell ref="C122:F122"/>
    <mergeCell ref="C153:F153"/>
    <mergeCell ref="J101:L101"/>
    <mergeCell ref="C125:F125"/>
    <mergeCell ref="M175:Q175"/>
    <mergeCell ref="A156:B156"/>
    <mergeCell ref="G136:I136"/>
    <mergeCell ref="P108:Q108"/>
    <mergeCell ref="A63:H63"/>
    <mergeCell ref="J102:L102"/>
    <mergeCell ref="P118:Q118"/>
    <mergeCell ref="M56:Q56"/>
    <mergeCell ref="A92:H92"/>
    <mergeCell ref="P109:Q109"/>
    <mergeCell ref="A124:B124"/>
    <mergeCell ref="C140:F140"/>
    <mergeCell ref="A87:H87"/>
    <mergeCell ref="J128:L128"/>
    <mergeCell ref="G154:I154"/>
    <mergeCell ref="M116:O116"/>
    <mergeCell ref="A82:D82"/>
    <mergeCell ref="A149:B149"/>
    <mergeCell ref="C104:F104"/>
    <mergeCell ref="A89:H89"/>
    <mergeCell ref="A151:B151"/>
    <mergeCell ref="M155:O155"/>
    <mergeCell ref="C161:F161"/>
    <mergeCell ref="J103:L103"/>
    <mergeCell ref="M159:O159"/>
    <mergeCell ref="P156:Q156"/>
    <mergeCell ref="C112:F112"/>
    <mergeCell ref="M118:O118"/>
    <mergeCell ref="C109:F109"/>
    <mergeCell ref="M161:O161"/>
    <mergeCell ref="C133:F133"/>
    <mergeCell ref="C127:F127"/>
    <mergeCell ref="M111:O111"/>
    <mergeCell ref="C114:F114"/>
    <mergeCell ref="C136:F136"/>
    <mergeCell ref="P130:Q130"/>
    <mergeCell ref="J118:L118"/>
    <mergeCell ref="P111:Q111"/>
    <mergeCell ref="P125:Q125"/>
    <mergeCell ref="P112:Q112"/>
    <mergeCell ref="M130:O130"/>
    <mergeCell ref="M150:O150"/>
    <mergeCell ref="J157:L157"/>
    <mergeCell ref="G160:I160"/>
    <mergeCell ref="A24:Q24"/>
    <mergeCell ref="M158:O158"/>
    <mergeCell ref="M180:Q180"/>
    <mergeCell ref="C111:F111"/>
    <mergeCell ref="A153:B153"/>
    <mergeCell ref="G133:I133"/>
    <mergeCell ref="M160:O160"/>
    <mergeCell ref="A128:B128"/>
    <mergeCell ref="P115:Q115"/>
    <mergeCell ref="M84:Q84"/>
    <mergeCell ref="G135:I135"/>
    <mergeCell ref="A136:B136"/>
    <mergeCell ref="M40:Q40"/>
    <mergeCell ref="A79:D79"/>
    <mergeCell ref="I70:L70"/>
    <mergeCell ref="A129:B129"/>
    <mergeCell ref="I57:L57"/>
    <mergeCell ref="M80:Q80"/>
    <mergeCell ref="A42:H42"/>
    <mergeCell ref="P141:Q141"/>
    <mergeCell ref="C137:F137"/>
    <mergeCell ref="A131:B131"/>
    <mergeCell ref="C124:F124"/>
    <mergeCell ref="P143:Q143"/>
    <mergeCell ref="I184:L184"/>
    <mergeCell ref="G107:I107"/>
    <mergeCell ref="I171:L171"/>
    <mergeCell ref="M91:Q91"/>
    <mergeCell ref="A29:Q29"/>
    <mergeCell ref="I181:L181"/>
    <mergeCell ref="A44:H44"/>
    <mergeCell ref="I173:L173"/>
    <mergeCell ref="A31:Q31"/>
    <mergeCell ref="I52:L52"/>
    <mergeCell ref="P153:Q153"/>
    <mergeCell ref="I39:L39"/>
    <mergeCell ref="I44:L44"/>
    <mergeCell ref="A103:B103"/>
    <mergeCell ref="J112:L112"/>
    <mergeCell ref="M113:O113"/>
    <mergeCell ref="C139:F139"/>
    <mergeCell ref="M148:O148"/>
    <mergeCell ref="J127:L127"/>
    <mergeCell ref="A76:D76"/>
    <mergeCell ref="C138:F138"/>
    <mergeCell ref="C132:F132"/>
    <mergeCell ref="A143:B143"/>
    <mergeCell ref="C119:F119"/>
    <mergeCell ref="P158:Q158"/>
    <mergeCell ref="M78:Q78"/>
    <mergeCell ref="A174:H174"/>
    <mergeCell ref="M145:O145"/>
    <mergeCell ref="I168:L168"/>
    <mergeCell ref="A72:Q73"/>
    <mergeCell ref="C116:F116"/>
    <mergeCell ref="M147:O147"/>
    <mergeCell ref="J142:L142"/>
    <mergeCell ref="J150:L150"/>
    <mergeCell ref="J144:L144"/>
    <mergeCell ref="J116:L116"/>
    <mergeCell ref="P113:Q113"/>
    <mergeCell ref="G146:I146"/>
    <mergeCell ref="M108:O108"/>
    <mergeCell ref="J147:L147"/>
    <mergeCell ref="M170:Q170"/>
    <mergeCell ref="G123:I123"/>
    <mergeCell ref="P161:Q161"/>
    <mergeCell ref="G110:I110"/>
    <mergeCell ref="I174:L174"/>
    <mergeCell ref="M172:Q172"/>
    <mergeCell ref="C108:F108"/>
    <mergeCell ref="P154:Q154"/>
    <mergeCell ref="G125:I125"/>
    <mergeCell ref="G112:I112"/>
    <mergeCell ref="J151:L151"/>
    <mergeCell ref="P138:Q138"/>
    <mergeCell ref="A34:Q34"/>
    <mergeCell ref="A107:B107"/>
    <mergeCell ref="G127:I127"/>
    <mergeCell ref="A49:Q49"/>
    <mergeCell ref="P140:Q140"/>
    <mergeCell ref="A55:H55"/>
    <mergeCell ref="A59:Q60"/>
    <mergeCell ref="A70:H70"/>
    <mergeCell ref="M35:Q35"/>
    <mergeCell ref="M103:O103"/>
    <mergeCell ref="M104:O104"/>
    <mergeCell ref="M64:Q64"/>
    <mergeCell ref="G104:I104"/>
    <mergeCell ref="M51:Q51"/>
    <mergeCell ref="A99:B99"/>
    <mergeCell ref="A66:H66"/>
    <mergeCell ref="M106:O106"/>
    <mergeCell ref="A94:Q96"/>
    <mergeCell ref="A101:B101"/>
    <mergeCell ref="A140:B140"/>
  </mergeCells>
  <phoneticPr fontId="27" type="noConversion"/>
  <pageMargins left="0.75" right="0.75" top="1" bottom="1" header="0.5" footer="0.5"/>
  <pageSetup paperSize="8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W101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300000</v>
      </c>
      <c r="P3" s="381"/>
      <c r="Q3" s="381"/>
      <c r="R3" s="382"/>
      <c r="S3" s="411" t="s">
        <v>349</v>
      </c>
      <c r="T3" s="381"/>
      <c r="U3" s="381"/>
      <c r="V3" s="381"/>
      <c r="W3" s="382"/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/>
      <c r="I5" s="66"/>
      <c r="J5" s="66"/>
      <c r="K5" s="66"/>
      <c r="L5" s="66"/>
      <c r="M5" s="66">
        <v>50000</v>
      </c>
      <c r="N5" s="66">
        <v>50000</v>
      </c>
      <c r="O5" s="66">
        <v>50000</v>
      </c>
      <c r="P5" s="66">
        <v>50000</v>
      </c>
      <c r="Q5" s="66"/>
      <c r="R5" s="66"/>
      <c r="S5" s="66"/>
      <c r="T5" s="66"/>
      <c r="U5" s="66">
        <f>SUM(G5:T5)</f>
        <v>200000</v>
      </c>
      <c r="V5" s="66"/>
      <c r="W5" s="66"/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s">
        <v>364</v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v>200000</v>
      </c>
      <c r="R7" s="74"/>
      <c r="S7" s="74"/>
      <c r="T7" s="74"/>
      <c r="U7" s="74"/>
      <c r="V7" s="74">
        <f>SUMIF($G$4:$T$4,"&lt;="&amp;EOMONTH($B$3,0),G7:T7)</f>
        <v>200000</v>
      </c>
      <c r="W7" s="74">
        <f>U6-V7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/>
      <c r="I8" s="66"/>
      <c r="J8" s="66"/>
      <c r="K8" s="66"/>
      <c r="L8" s="66">
        <v>50000</v>
      </c>
      <c r="M8" s="66"/>
      <c r="N8" s="66"/>
      <c r="O8" s="66"/>
      <c r="P8" s="66"/>
      <c r="Q8" s="66">
        <v>50000</v>
      </c>
      <c r="R8" s="66"/>
      <c r="S8" s="66"/>
      <c r="T8" s="66"/>
      <c r="U8" s="66">
        <f>SUM(G8:T8)</f>
        <v>100000</v>
      </c>
      <c r="V8" s="66"/>
      <c r="W8" s="66"/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>
        <f>SUM(G11:T11)</f>
        <v>50000</v>
      </c>
      <c r="V11" s="66"/>
      <c r="W11" s="66"/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/>
      <c r="I14" s="66"/>
      <c r="J14" s="66"/>
      <c r="K14" s="66"/>
      <c r="L14" s="66"/>
      <c r="M14" s="66"/>
      <c r="N14" s="66"/>
      <c r="O14" s="66">
        <v>50000</v>
      </c>
      <c r="P14" s="66"/>
      <c r="Q14" s="66"/>
      <c r="R14" s="66"/>
      <c r="S14" s="66"/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v>50000</v>
      </c>
      <c r="I17" s="66">
        <v>50000</v>
      </c>
      <c r="J17" s="66">
        <v>50000</v>
      </c>
      <c r="K17" s="66">
        <v>100000</v>
      </c>
      <c r="L17" s="66">
        <v>50000</v>
      </c>
      <c r="M17" s="66">
        <v>50000</v>
      </c>
      <c r="N17" s="66">
        <v>100000</v>
      </c>
      <c r="O17" s="66">
        <v>100000</v>
      </c>
      <c r="P17" s="66"/>
      <c r="Q17" s="66"/>
      <c r="R17" s="66"/>
      <c r="S17" s="66"/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v>50000</v>
      </c>
      <c r="I20" s="66">
        <v>150000</v>
      </c>
      <c r="J20" s="66">
        <v>100000</v>
      </c>
      <c r="K20" s="66">
        <v>100000</v>
      </c>
      <c r="L20" s="66">
        <v>100000</v>
      </c>
      <c r="M20" s="66">
        <v>100000</v>
      </c>
      <c r="N20" s="66"/>
      <c r="O20" s="66"/>
      <c r="P20" s="66">
        <v>100000</v>
      </c>
      <c r="Q20" s="66">
        <v>100000</v>
      </c>
      <c r="R20" s="66">
        <v>100000</v>
      </c>
      <c r="S20" s="66"/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/>
      <c r="I23" s="66"/>
      <c r="J23" s="66"/>
      <c r="K23" s="66"/>
      <c r="L23" s="66">
        <v>50000</v>
      </c>
      <c r="M23" s="66"/>
      <c r="N23" s="66"/>
      <c r="O23" s="66"/>
      <c r="P23" s="66">
        <v>50000</v>
      </c>
      <c r="Q23" s="66"/>
      <c r="R23" s="66">
        <v>100000</v>
      </c>
      <c r="S23" s="66"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v>100000</v>
      </c>
      <c r="I26" s="66">
        <v>100000</v>
      </c>
      <c r="J26" s="66">
        <v>50000</v>
      </c>
      <c r="K26" s="66"/>
      <c r="L26" s="66"/>
      <c r="M26" s="66"/>
      <c r="N26" s="66">
        <v>100000</v>
      </c>
      <c r="O26" s="66">
        <v>100000</v>
      </c>
      <c r="P26" s="66">
        <v>100000</v>
      </c>
      <c r="Q26" s="66">
        <v>50000</v>
      </c>
      <c r="R26" s="66"/>
      <c r="S26" s="66"/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v>100000</v>
      </c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 t="str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  <v/>
      </c>
      <c r="S32" s="333" t="str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  <v/>
      </c>
      <c r="T32" s="333" t="str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  <v/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200000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1450000</v>
      </c>
      <c r="W40" s="332">
        <f>U39-V40-W32</f>
        <v>1850000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200000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300000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s">
        <v>404</v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IF(OR($B$3&lt;DATE(2026,3,1),$B$3&gt;잔액!$B$3),"기준월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IF(OR($B$3&lt;DATE(2026,3,1),$B$3&gt;잔액!$B$3),"기준월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150000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200000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IF(OR($B$3&lt;DATE(2026,3,1),$B$3&gt;잔액!$B$3),"기준월 확인",J74=INDEX(잔액!$C$22:$L$30,MATCH(A74,잔액!$A$22:$A$30,0),MATCH($B$3,잔액!$C$21:$L$21,0)))</f>
        <v>1</v>
      </c>
      <c r="M74" s="382"/>
      <c r="N74" s="359" t="s">
        <v>415</v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IF(OR($B$3&lt;DATE(2026,3,1),$B$3&gt;잔액!$B$3),"기준월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IF(OR($B$3&lt;DATE(2026,3,1),$B$3&gt;잔액!$B$3),"기준월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2150000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287120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</v>
      </c>
      <c r="H82" s="338">
        <f t="shared" si="6"/>
        <v>46023</v>
      </c>
      <c r="I82" s="338">
        <f t="shared" si="6"/>
        <v>46054</v>
      </c>
      <c r="J82" s="338">
        <f t="shared" si="6"/>
        <v>46082</v>
      </c>
      <c r="K82" s="338">
        <f t="shared" si="6"/>
        <v>46113</v>
      </c>
      <c r="L82" s="338">
        <f t="shared" si="6"/>
        <v>46143</v>
      </c>
      <c r="M82" s="338">
        <f t="shared" si="6"/>
        <v>46174</v>
      </c>
      <c r="N82" s="338">
        <f t="shared" si="6"/>
        <v>46204</v>
      </c>
      <c r="O82" s="338">
        <f t="shared" si="6"/>
        <v>46235</v>
      </c>
      <c r="P82" s="338">
        <f t="shared" si="6"/>
        <v>46266</v>
      </c>
      <c r="Q82" s="338">
        <f t="shared" si="6"/>
        <v>46296</v>
      </c>
      <c r="R82" s="338">
        <f t="shared" si="6"/>
        <v>46327</v>
      </c>
      <c r="S82" s="338">
        <f t="shared" si="6"/>
        <v>46357</v>
      </c>
      <c r="T82" s="338">
        <f t="shared" si="6"/>
        <v>46388</v>
      </c>
      <c r="U82" s="404" t="s">
        <v>422</v>
      </c>
      <c r="V82" s="381"/>
      <c r="W82" s="382"/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 t="str">
        <f>IF(OR(G$4&lt;DATE(2026,3,1),G$4&gt;$B$3),"",(SUMIFS(잔액!$Y$64:$Y$500,잔액!$D$64:$D$500,$A83,잔액!$A$64:$A$500,"&lt;="&amp;EOMONTH(G$4,0)))-(SUMIFS(잔액!$Y$64:$Y$500,잔액!$C$64:$C$500,$A83,잔액!$A$64:$A$500,"&lt;="&amp;EOMONTH(G$4,0))))</f>
        <v/>
      </c>
      <c r="H83" s="327" t="str">
        <f>IF(OR(H$4&lt;DATE(2026,3,1),H$4&gt;$B$3),"",(SUMIFS(잔액!$Y$64:$Y$500,잔액!$D$64:$D$500,$A83,잔액!$A$64:$A$500,"&lt;="&amp;EOMONTH(H$4,0)))-(SUMIFS(잔액!$Y$64:$Y$500,잔액!$C$64:$C$500,$A83,잔액!$A$64:$A$500,"&lt;="&amp;EOMONTH(H$4,0))))</f>
        <v/>
      </c>
      <c r="I83" s="327" t="str">
        <f>IF(OR(I$4&lt;DATE(2026,3,1),I$4&gt;$B$3),"",(SUMIFS(잔액!$Y$64:$Y$500,잔액!$D$64:$D$500,$A83,잔액!$A$64:$A$500,"&lt;="&amp;EOMONTH(I$4,0)))-(SUMIFS(잔액!$Y$64:$Y$500,잔액!$C$64:$C$500,$A83,잔액!$A$64:$A$500,"&lt;="&amp;EOMONTH(I$4,0))))</f>
        <v/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 t="str">
        <f>IF(OR(R$4&lt;DATE(2026,3,1),R$4&gt;$B$3),"",(SUMIFS(잔액!$Y$64:$Y$500,잔액!$D$64:$D$500,$A83,잔액!$A$64:$A$500,"&lt;="&amp;EOMONTH(R$4,0)))-(SUMIFS(잔액!$Y$64:$Y$500,잔액!$C$64:$C$500,$A83,잔액!$A$64:$A$500,"&lt;="&amp;EOMONTH(R$4,0))))</f>
        <v/>
      </c>
      <c r="S83" s="327" t="str">
        <f>IF(OR(S$4&lt;DATE(2026,3,1),S$4&gt;$B$3),"",(SUMIFS(잔액!$Y$64:$Y$500,잔액!$D$64:$D$500,$A83,잔액!$A$64:$A$500,"&lt;="&amp;EOMONTH(S$4,0)))-(SUMIFS(잔액!$Y$64:$Y$500,잔액!$C$64:$C$500,$A83,잔액!$A$64:$A$500,"&lt;="&amp;EOMONTH(S$4,0))))</f>
        <v/>
      </c>
      <c r="T83" s="327" t="str">
        <f>IF(OR(T$4&lt;DATE(2026,3,1),T$4&gt;$B$3),"",(SUMIFS(잔액!$Y$64:$Y$500,잔액!$D$64:$D$500,$A83,잔액!$A$64:$A$500,"&lt;="&amp;EOMONTH(T$4,0)))-(SUMIFS(잔액!$Y$64:$Y$500,잔액!$C$64:$C$500,$A83,잔액!$A$64:$A$500,"&lt;="&amp;EOMONTH(T$4,0))))</f>
        <v/>
      </c>
      <c r="U83" s="401">
        <f>IF($B$3&lt;DATE(2026,3,1),"원장 없음",J72)</f>
        <v>0</v>
      </c>
      <c r="V83" s="381"/>
      <c r="W83" s="382"/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 t="str">
        <f>IF(OR(G$4&lt;DATE(2026,3,1),G$4&gt;$B$3),"",(SUMIFS(잔액!$Y$64:$Y$500,잔액!$D$64:$D$500,$A84,잔액!$A$64:$A$500,"&lt;="&amp;EOMONTH(G$4,0)))-(SUMIFS(잔액!$Y$64:$Y$500,잔액!$C$64:$C$500,$A84,잔액!$A$64:$A$500,"&lt;="&amp;EOMONTH(G$4,0))))</f>
        <v/>
      </c>
      <c r="H84" s="327" t="str">
        <f>IF(OR(H$4&lt;DATE(2026,3,1),H$4&gt;$B$3),"",(SUMIFS(잔액!$Y$64:$Y$500,잔액!$D$64:$D$500,$A84,잔액!$A$64:$A$500,"&lt;="&amp;EOMONTH(H$4,0)))-(SUMIFS(잔액!$Y$64:$Y$500,잔액!$C$64:$C$500,$A84,잔액!$A$64:$A$500,"&lt;="&amp;EOMONTH(H$4,0))))</f>
        <v/>
      </c>
      <c r="I84" s="327" t="str">
        <f>IF(OR(I$4&lt;DATE(2026,3,1),I$4&gt;$B$3),"",(SUMIFS(잔액!$Y$64:$Y$500,잔액!$D$64:$D$500,$A84,잔액!$A$64:$A$500,"&lt;="&amp;EOMONTH(I$4,0)))-(SUMIFS(잔액!$Y$64:$Y$500,잔액!$C$64:$C$500,$A84,잔액!$A$64:$A$500,"&lt;="&amp;EOMONTH(I$4,0))))</f>
        <v/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 t="str">
        <f>IF(OR(R$4&lt;DATE(2026,3,1),R$4&gt;$B$3),"",(SUMIFS(잔액!$Y$64:$Y$500,잔액!$D$64:$D$500,$A84,잔액!$A$64:$A$500,"&lt;="&amp;EOMONTH(R$4,0)))-(SUMIFS(잔액!$Y$64:$Y$500,잔액!$C$64:$C$500,$A84,잔액!$A$64:$A$500,"&lt;="&amp;EOMONTH(R$4,0))))</f>
        <v/>
      </c>
      <c r="S84" s="327" t="str">
        <f>IF(OR(S$4&lt;DATE(2026,3,1),S$4&gt;$B$3),"",(SUMIFS(잔액!$Y$64:$Y$500,잔액!$D$64:$D$500,$A84,잔액!$A$64:$A$500,"&lt;="&amp;EOMONTH(S$4,0)))-(SUMIFS(잔액!$Y$64:$Y$500,잔액!$C$64:$C$500,$A84,잔액!$A$64:$A$500,"&lt;="&amp;EOMONTH(S$4,0))))</f>
        <v/>
      </c>
      <c r="T84" s="327" t="str">
        <f>IF(OR(T$4&lt;DATE(2026,3,1),T$4&gt;$B$3),"",(SUMIFS(잔액!$Y$64:$Y$500,잔액!$D$64:$D$500,$A84,잔액!$A$64:$A$500,"&lt;="&amp;EOMONTH(T$4,0)))-(SUMIFS(잔액!$Y$64:$Y$500,잔액!$C$64:$C$500,$A84,잔액!$A$64:$A$500,"&lt;="&amp;EOMONTH(T$4,0))))</f>
        <v/>
      </c>
      <c r="U84" s="401">
        <f>IF($B$3&lt;DATE(2026,3,1),"원장 없음",J73)</f>
        <v>1400000</v>
      </c>
      <c r="V84" s="381"/>
      <c r="W84" s="382"/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 t="str">
        <f>IF(OR(G$4&lt;DATE(2026,3,1),G$4&gt;$B$3),"",(SUMIFS(잔액!$Y$64:$Y$500,잔액!$D$64:$D$500,$A85,잔액!$A$64:$A$500,"&lt;="&amp;EOMONTH(G$4,0)))-(SUMIFS(잔액!$Y$64:$Y$500,잔액!$C$64:$C$500,$A85,잔액!$A$64:$A$500,"&lt;="&amp;EOMONTH(G$4,0))))</f>
        <v/>
      </c>
      <c r="H85" s="327" t="str">
        <f>IF(OR(H$4&lt;DATE(2026,3,1),H$4&gt;$B$3),"",(SUMIFS(잔액!$Y$64:$Y$500,잔액!$D$64:$D$500,$A85,잔액!$A$64:$A$500,"&lt;="&amp;EOMONTH(H$4,0)))-(SUMIFS(잔액!$Y$64:$Y$500,잔액!$C$64:$C$500,$A85,잔액!$A$64:$A$500,"&lt;="&amp;EOMONTH(H$4,0))))</f>
        <v/>
      </c>
      <c r="I85" s="327" t="str">
        <f>IF(OR(I$4&lt;DATE(2026,3,1),I$4&gt;$B$3),"",(SUMIFS(잔액!$Y$64:$Y$500,잔액!$D$64:$D$500,$A85,잔액!$A$64:$A$500,"&lt;="&amp;EOMONTH(I$4,0)))-(SUMIFS(잔액!$Y$64:$Y$500,잔액!$C$64:$C$500,$A85,잔액!$A$64:$A$500,"&lt;="&amp;EOMONTH(I$4,0))))</f>
        <v/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 t="str">
        <f>IF(OR(R$4&lt;DATE(2026,3,1),R$4&gt;$B$3),"",(SUMIFS(잔액!$Y$64:$Y$500,잔액!$D$64:$D$500,$A85,잔액!$A$64:$A$500,"&lt;="&amp;EOMONTH(R$4,0)))-(SUMIFS(잔액!$Y$64:$Y$500,잔액!$C$64:$C$500,$A85,잔액!$A$64:$A$500,"&lt;="&amp;EOMONTH(R$4,0))))</f>
        <v/>
      </c>
      <c r="S85" s="327" t="str">
        <f>IF(OR(S$4&lt;DATE(2026,3,1),S$4&gt;$B$3),"",(SUMIFS(잔액!$Y$64:$Y$500,잔액!$D$64:$D$500,$A85,잔액!$A$64:$A$500,"&lt;="&amp;EOMONTH(S$4,0)))-(SUMIFS(잔액!$Y$64:$Y$500,잔액!$C$64:$C$500,$A85,잔액!$A$64:$A$500,"&lt;="&amp;EOMONTH(S$4,0))))</f>
        <v/>
      </c>
      <c r="T85" s="327" t="str">
        <f>IF(OR(T$4&lt;DATE(2026,3,1),T$4&gt;$B$3),"",(SUMIFS(잔액!$Y$64:$Y$500,잔액!$D$64:$D$500,$A85,잔액!$A$64:$A$500,"&lt;="&amp;EOMONTH(T$4,0)))-(SUMIFS(잔액!$Y$64:$Y$500,잔액!$C$64:$C$500,$A85,잔액!$A$64:$A$500,"&lt;="&amp;EOMONTH(T$4,0))))</f>
        <v/>
      </c>
      <c r="U85" s="401">
        <f>IF($B$3&lt;DATE(2026,3,1),"원장 없음",J74)</f>
        <v>450000</v>
      </c>
      <c r="V85" s="381"/>
      <c r="W85" s="382"/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 t="str">
        <f>IF(OR(G$4&lt;DATE(2026,3,1),G$4&gt;$B$3),"",(SUMIFS(잔액!$Y$64:$Y$500,잔액!$D$64:$D$500,$A86,잔액!$A$64:$A$500,"&lt;="&amp;EOMONTH(G$4,0)))-(SUMIFS(잔액!$Y$64:$Y$500,잔액!$C$64:$C$500,$A86,잔액!$A$64:$A$500,"&lt;="&amp;EOMONTH(G$4,0))))</f>
        <v/>
      </c>
      <c r="H86" s="327" t="str">
        <f>IF(OR(H$4&lt;DATE(2026,3,1),H$4&gt;$B$3),"",(SUMIFS(잔액!$Y$64:$Y$500,잔액!$D$64:$D$500,$A86,잔액!$A$64:$A$500,"&lt;="&amp;EOMONTH(H$4,0)))-(SUMIFS(잔액!$Y$64:$Y$500,잔액!$C$64:$C$500,$A86,잔액!$A$64:$A$500,"&lt;="&amp;EOMONTH(H$4,0))))</f>
        <v/>
      </c>
      <c r="I86" s="327" t="str">
        <f>IF(OR(I$4&lt;DATE(2026,3,1),I$4&gt;$B$3),"",(SUMIFS(잔액!$Y$64:$Y$500,잔액!$D$64:$D$500,$A86,잔액!$A$64:$A$500,"&lt;="&amp;EOMONTH(I$4,0)))-(SUMIFS(잔액!$Y$64:$Y$500,잔액!$C$64:$C$500,$A86,잔액!$A$64:$A$500,"&lt;="&amp;EOMONTH(I$4,0))))</f>
        <v/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 t="str">
        <f>IF(OR(R$4&lt;DATE(2026,3,1),R$4&gt;$B$3),"",(SUMIFS(잔액!$Y$64:$Y$500,잔액!$D$64:$D$500,$A86,잔액!$A$64:$A$500,"&lt;="&amp;EOMONTH(R$4,0)))-(SUMIFS(잔액!$Y$64:$Y$500,잔액!$C$64:$C$500,$A86,잔액!$A$64:$A$500,"&lt;="&amp;EOMONTH(R$4,0))))</f>
        <v/>
      </c>
      <c r="S86" s="327" t="str">
        <f>IF(OR(S$4&lt;DATE(2026,3,1),S$4&gt;$B$3),"",(SUMIFS(잔액!$Y$64:$Y$500,잔액!$D$64:$D$500,$A86,잔액!$A$64:$A$500,"&lt;="&amp;EOMONTH(S$4,0)))-(SUMIFS(잔액!$Y$64:$Y$500,잔액!$C$64:$C$500,$A86,잔액!$A$64:$A$500,"&lt;="&amp;EOMONTH(S$4,0))))</f>
        <v/>
      </c>
      <c r="T86" s="327" t="str">
        <f>IF(OR(T$4&lt;DATE(2026,3,1),T$4&gt;$B$3),"",(SUMIFS(잔액!$Y$64:$Y$500,잔액!$D$64:$D$500,$A86,잔액!$A$64:$A$500,"&lt;="&amp;EOMONTH(T$4,0)))-(SUMIFS(잔액!$Y$64:$Y$500,잔액!$C$64:$C$500,$A86,잔액!$A$64:$A$500,"&lt;="&amp;EOMONTH(T$4,0))))</f>
        <v/>
      </c>
      <c r="U86" s="401">
        <f>IF($B$3&lt;DATE(2026,3,1),"원장 없음",J75)</f>
        <v>300000</v>
      </c>
      <c r="V86" s="381"/>
      <c r="W86" s="382"/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 t="str">
        <f>IF(OR(G$4&lt;DATE(2026,3,1),G$4&gt;$B$3),"",(SUMIFS(잔액!$Y$64:$Y$500,잔액!$D$64:$D$500,$A87,잔액!$A$64:$A$500,"&lt;="&amp;EOMONTH(G$4,0)))-(SUMIFS(잔액!$Y$64:$Y$500,잔액!$C$64:$C$500,$A87,잔액!$A$64:$A$500,"&lt;="&amp;EOMONTH(G$4,0))))</f>
        <v/>
      </c>
      <c r="H87" s="327" t="str">
        <f>IF(OR(H$4&lt;DATE(2026,3,1),H$4&gt;$B$3),"",(SUMIFS(잔액!$Y$64:$Y$500,잔액!$D$64:$D$500,$A87,잔액!$A$64:$A$500,"&lt;="&amp;EOMONTH(H$4,0)))-(SUMIFS(잔액!$Y$64:$Y$500,잔액!$C$64:$C$500,$A87,잔액!$A$64:$A$500,"&lt;="&amp;EOMONTH(H$4,0))))</f>
        <v/>
      </c>
      <c r="I87" s="327" t="str">
        <f>IF(OR(I$4&lt;DATE(2026,3,1),I$4&gt;$B$3),"",(SUMIFS(잔액!$Y$64:$Y$500,잔액!$D$64:$D$500,$A87,잔액!$A$64:$A$500,"&lt;="&amp;EOMONTH(I$4,0)))-(SUMIFS(잔액!$Y$64:$Y$500,잔액!$C$64:$C$500,$A87,잔액!$A$64:$A$500,"&lt;="&amp;EOMONTH(I$4,0))))</f>
        <v/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 t="str">
        <f>IF(OR(R$4&lt;DATE(2026,3,1),R$4&gt;$B$3),"",(SUMIFS(잔액!$Y$64:$Y$500,잔액!$D$64:$D$500,$A87,잔액!$A$64:$A$500,"&lt;="&amp;EOMONTH(R$4,0)))-(SUMIFS(잔액!$Y$64:$Y$500,잔액!$C$64:$C$500,$A87,잔액!$A$64:$A$500,"&lt;="&amp;EOMONTH(R$4,0))))</f>
        <v/>
      </c>
      <c r="S87" s="327" t="str">
        <f>IF(OR(S$4&lt;DATE(2026,3,1),S$4&gt;$B$3),"",(SUMIFS(잔액!$Y$64:$Y$500,잔액!$D$64:$D$500,$A87,잔액!$A$64:$A$500,"&lt;="&amp;EOMONTH(S$4,0)))-(SUMIFS(잔액!$Y$64:$Y$500,잔액!$C$64:$C$500,$A87,잔액!$A$64:$A$500,"&lt;="&amp;EOMONTH(S$4,0))))</f>
        <v/>
      </c>
      <c r="T87" s="327" t="str">
        <f>IF(OR(T$4&lt;DATE(2026,3,1),T$4&gt;$B$3),"",(SUMIFS(잔액!$Y$64:$Y$500,잔액!$D$64:$D$500,$A87,잔액!$A$64:$A$500,"&lt;="&amp;EOMONTH(T$4,0)))-(SUMIFS(잔액!$Y$64:$Y$500,잔액!$C$64:$C$500,$A87,잔액!$A$64:$A$500,"&lt;="&amp;EOMONTH(T$4,0))))</f>
        <v/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</v>
      </c>
      <c r="H93" s="338">
        <f t="shared" si="7"/>
        <v>46023</v>
      </c>
      <c r="I93" s="338">
        <f t="shared" si="7"/>
        <v>46054</v>
      </c>
      <c r="J93" s="338">
        <f t="shared" si="7"/>
        <v>46082</v>
      </c>
      <c r="K93" s="338">
        <f t="shared" si="7"/>
        <v>46113</v>
      </c>
      <c r="L93" s="338">
        <f t="shared" si="7"/>
        <v>46143</v>
      </c>
      <c r="M93" s="338">
        <f t="shared" si="7"/>
        <v>46174</v>
      </c>
      <c r="N93" s="338">
        <f t="shared" si="7"/>
        <v>46204</v>
      </c>
      <c r="O93" s="338">
        <f t="shared" si="7"/>
        <v>46235</v>
      </c>
      <c r="P93" s="338">
        <f t="shared" si="7"/>
        <v>46266</v>
      </c>
      <c r="Q93" s="338">
        <f t="shared" si="7"/>
        <v>46296</v>
      </c>
      <c r="R93" s="338">
        <f t="shared" si="7"/>
        <v>46327</v>
      </c>
      <c r="S93" s="338">
        <f t="shared" si="7"/>
        <v>46357</v>
      </c>
      <c r="T93" s="338">
        <f t="shared" si="7"/>
        <v>46388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 t="str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  <v/>
      </c>
      <c r="H94" s="339" t="str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  <v/>
      </c>
      <c r="I94" s="339" t="str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  <v/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 t="str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  <v/>
      </c>
      <c r="S94" s="339" t="str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  <v/>
      </c>
      <c r="T94" s="339" t="str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  <v/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 t="str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  <v/>
      </c>
      <c r="H95" s="339" t="str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  <v/>
      </c>
      <c r="I95" s="339" t="str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  <v/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 t="str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  <v/>
      </c>
      <c r="S95" s="339" t="str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  <v/>
      </c>
      <c r="T95" s="339" t="str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  <v/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 t="str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  <v/>
      </c>
      <c r="H96" s="339" t="str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  <v/>
      </c>
      <c r="I96" s="339" t="str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  <v/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 t="str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  <v/>
      </c>
      <c r="S96" s="339" t="str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  <v/>
      </c>
      <c r="T96" s="339" t="str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  <v/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 t="str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  <v/>
      </c>
      <c r="H97" s="339" t="str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  <v/>
      </c>
      <c r="I97" s="339" t="str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  <v/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 t="str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  <v/>
      </c>
      <c r="S97" s="339" t="str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  <v/>
      </c>
      <c r="T97" s="339" t="str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  <v/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 t="str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  <v/>
      </c>
      <c r="H98" s="339" t="str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  <v/>
      </c>
      <c r="I98" s="339" t="str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  <v/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 t="str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  <v/>
      </c>
      <c r="S98" s="339" t="str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  <v/>
      </c>
      <c r="T98" s="339" t="str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  <v/>
      </c>
      <c r="U98" s="400">
        <f>SUM(G98:T98)</f>
        <v>0</v>
      </c>
      <c r="V98" s="381"/>
      <c r="W98" s="382"/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hyperlinks>
    <hyperlink ref="S3" location="'예비비'!A69" tooltip="이체와 원장 잔액의 계산 근거" display="이체·잔액 연결표 ↓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pageSetUpPr fitToPage="1"/>
  </sheetPr>
  <dimension ref="A1:Y501"/>
  <sheetViews>
    <sheetView showGridLines="0" tabSelected="1" zoomScale="85" zoomScaleNormal="85" workbookViewId="0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s">
        <v>2</v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s">
        <v>8</v>
      </c>
      <c r="F6" s="30" t="s">
        <v>9</v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8557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626510</v>
      </c>
      <c r="G7" s="28">
        <f t="shared" ref="G7:G15" si="5">B7+C7-D7-E7+F7</f>
        <v>4473931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 t="shared" si="0"/>
        <v>0</v>
      </c>
      <c r="C8" s="28">
        <f t="shared" si="1"/>
        <v>0</v>
      </c>
      <c r="D8" s="28">
        <f t="shared" si="2"/>
        <v>0</v>
      </c>
      <c r="E8" s="28">
        <f t="shared" si="3"/>
        <v>0</v>
      </c>
      <c r="F8" s="28">
        <f t="shared" si="4"/>
        <v>0</v>
      </c>
      <c r="G8" s="28">
        <f t="shared" si="5"/>
        <v>0</v>
      </c>
      <c r="H8" s="28">
        <f>IFERROR(INDEX(예비비!$G$45:$T$45,1,MATCH($B$3,예비비!$G$4:$T$4,0)),0)</f>
        <v>0</v>
      </c>
      <c r="I8" s="28">
        <f>IFERROR(INDEX(예비비!$G$47:$T$47,1,MATCH($B$3,예비비!$G$4:$T$4,0)),0)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 t="shared" si="0"/>
        <v>1400000</v>
      </c>
      <c r="C9" s="28">
        <f t="shared" si="1"/>
        <v>0</v>
      </c>
      <c r="D9" s="28">
        <f t="shared" si="2"/>
        <v>0</v>
      </c>
      <c r="E9" s="28">
        <f t="shared" si="3"/>
        <v>0</v>
      </c>
      <c r="F9" s="28">
        <f t="shared" si="4"/>
        <v>0</v>
      </c>
      <c r="G9" s="28">
        <f t="shared" si="5"/>
        <v>1400000</v>
      </c>
      <c r="H9" s="28">
        <f>IFERROR(INDEX(예비비!$G$48:$T$48,1,MATCH($B$3,예비비!$G$4:$T$4,0)),0)</f>
        <v>100000</v>
      </c>
      <c r="I9" s="28">
        <f>IFERROR(INDEX(예비비!$G$50:$T$50,1,MATCH($B$3,예비비!$G$4:$T$4,0)),0)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 t="shared" si="0"/>
        <v>450000</v>
      </c>
      <c r="C10" s="28">
        <f t="shared" si="1"/>
        <v>0</v>
      </c>
      <c r="D10" s="28">
        <f t="shared" si="2"/>
        <v>0</v>
      </c>
      <c r="E10" s="28">
        <f t="shared" si="3"/>
        <v>0</v>
      </c>
      <c r="F10" s="28">
        <f t="shared" si="4"/>
        <v>0</v>
      </c>
      <c r="G10" s="28">
        <f t="shared" si="5"/>
        <v>450000</v>
      </c>
      <c r="H10" s="28">
        <f>IFERROR(INDEX(예비비!$G$51:$T$51,1,MATCH($B$3,예비비!$G$4:$T$4,0)),0)</f>
        <v>50000</v>
      </c>
      <c r="I10" s="28">
        <f>MAX(0,IFERROR(INDEX(예비비!$G$53:$T$53,1,MATCH($B$3,예비비!$G$4:$T$4,0)),0)-IFERROR(INDEX(예비비!$G$7:$T$7,1,MATCH($B$3,예비비!$G$4:$T$4,0)),0))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 t="shared" si="0"/>
        <v>300000</v>
      </c>
      <c r="C11" s="28">
        <f t="shared" si="1"/>
        <v>0</v>
      </c>
      <c r="D11" s="28">
        <f t="shared" si="2"/>
        <v>0</v>
      </c>
      <c r="E11" s="28">
        <f t="shared" si="3"/>
        <v>0</v>
      </c>
      <c r="F11" s="28">
        <f t="shared" si="4"/>
        <v>0</v>
      </c>
      <c r="G11" s="28">
        <f t="shared" si="5"/>
        <v>300000</v>
      </c>
      <c r="H11" s="28">
        <f>IFERROR(INDEX(예비비!$G$54:$T$54,1,MATCH($B$3,예비비!$G$4:$T$4,0)),0)</f>
        <v>50000</v>
      </c>
      <c r="I11" s="28">
        <f>IFERROR(INDEX(예비비!$G$56:$T$56,1,MATCH($B$3,예비비!$G$4:$T$4,0)),0)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 t="shared" si="0"/>
        <v>0</v>
      </c>
      <c r="C12" s="28">
        <f t="shared" si="1"/>
        <v>0</v>
      </c>
      <c r="D12" s="28">
        <f t="shared" si="2"/>
        <v>0</v>
      </c>
      <c r="E12" s="28">
        <f t="shared" si="3"/>
        <v>0</v>
      </c>
      <c r="F12" s="28">
        <f t="shared" si="4"/>
        <v>0</v>
      </c>
      <c r="G12" s="28">
        <f t="shared" si="5"/>
        <v>0</v>
      </c>
      <c r="H12" s="28">
        <f>IFERROR(INDEX(예비비!$G$57:$T$57,1,MATCH($B$3,예비비!$G$4:$T$4,0)),0)</f>
        <v>0</v>
      </c>
      <c r="I12" s="28">
        <f>IFERROR(INDEX(예비비!$G$59:$T$59,1,MATCH($B$3,예비비!$G$4:$T$4,0)),0)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 t="shared" si="0"/>
        <v>0</v>
      </c>
      <c r="C13" s="28">
        <f t="shared" si="1"/>
        <v>0</v>
      </c>
      <c r="D13" s="28">
        <f t="shared" si="2"/>
        <v>0</v>
      </c>
      <c r="E13" s="28">
        <f t="shared" si="3"/>
        <v>0</v>
      </c>
      <c r="F13" s="28">
        <f t="shared" si="4"/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0</v>
      </c>
      <c r="F15" s="28">
        <f t="shared" si="4"/>
        <v>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8557</v>
      </c>
      <c r="D16" s="32">
        <f t="shared" si="7"/>
        <v>11900</v>
      </c>
      <c r="E16" s="32">
        <f t="shared" si="7"/>
        <v>2537839</v>
      </c>
      <c r="F16" s="32">
        <f t="shared" si="7"/>
        <v>626510</v>
      </c>
      <c r="G16" s="32">
        <f t="shared" si="7"/>
        <v>6623931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s">
        <v>26</v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 t="shared" ref="C22:L30" si="8">IF(C$21&gt;$B$3,"",SUMIFS($Y$64:$Y$500,$D$64:$D$500,$A22,$A$64:$A$500,"&lt;="&amp;EOMONTH(C$21,0))-SUMIFS($Y$64:$Y$500,$C$64:$C$500,$A22,$A$64:$A$500,"&lt;="&amp;EOMONTH(C$21,0)))</f>
        <v>993611</v>
      </c>
      <c r="D22" s="92">
        <f t="shared" si="8"/>
        <v>944667</v>
      </c>
      <c r="E22" s="92">
        <f t="shared" si="8"/>
        <v>1062089</v>
      </c>
      <c r="F22" s="92">
        <f t="shared" si="8"/>
        <v>626802</v>
      </c>
      <c r="G22" s="92">
        <f t="shared" si="8"/>
        <v>-498498</v>
      </c>
      <c r="H22" s="92">
        <f t="shared" si="8"/>
        <v>0</v>
      </c>
      <c r="I22" s="92">
        <f t="shared" si="8"/>
        <v>6388603</v>
      </c>
      <c r="J22" s="92">
        <f t="shared" si="8"/>
        <v>4473931</v>
      </c>
      <c r="K22" s="92" t="str">
        <f t="shared" si="8"/>
        <v/>
      </c>
      <c r="L22" s="92" t="str">
        <f t="shared" si="8"/>
        <v/>
      </c>
    </row>
    <row r="23" spans="1:22" ht="24" customHeight="1">
      <c r="A23" s="343" t="s">
        <v>16</v>
      </c>
      <c r="B23" s="342"/>
      <c r="C23" s="92">
        <f t="shared" si="8"/>
        <v>100000</v>
      </c>
      <c r="D23" s="92">
        <f t="shared" si="8"/>
        <v>200000</v>
      </c>
      <c r="E23" s="92">
        <f t="shared" si="8"/>
        <v>50000</v>
      </c>
      <c r="F23" s="92">
        <f t="shared" si="8"/>
        <v>100000</v>
      </c>
      <c r="G23" s="92">
        <f t="shared" si="8"/>
        <v>200000</v>
      </c>
      <c r="H23" s="92">
        <f t="shared" si="8"/>
        <v>300000</v>
      </c>
      <c r="I23" s="92">
        <f t="shared" si="8"/>
        <v>0</v>
      </c>
      <c r="J23" s="92">
        <f t="shared" si="8"/>
        <v>0</v>
      </c>
      <c r="K23" s="92" t="str">
        <f t="shared" si="8"/>
        <v/>
      </c>
      <c r="L23" s="92" t="str">
        <f t="shared" si="8"/>
        <v/>
      </c>
    </row>
    <row r="24" spans="1:22" ht="24" customHeight="1">
      <c r="A24" s="343" t="s">
        <v>17</v>
      </c>
      <c r="B24" s="342"/>
      <c r="C24" s="92">
        <f t="shared" si="8"/>
        <v>1300000</v>
      </c>
      <c r="D24" s="92">
        <f t="shared" si="8"/>
        <v>1400000</v>
      </c>
      <c r="E24" s="92">
        <f t="shared" si="8"/>
        <v>1500000</v>
      </c>
      <c r="F24" s="92">
        <f t="shared" si="8"/>
        <v>1600000</v>
      </c>
      <c r="G24" s="92">
        <f t="shared" si="8"/>
        <v>1600000</v>
      </c>
      <c r="H24" s="92">
        <f t="shared" si="8"/>
        <v>1300000</v>
      </c>
      <c r="I24" s="92">
        <f t="shared" si="8"/>
        <v>1400000</v>
      </c>
      <c r="J24" s="92">
        <f t="shared" si="8"/>
        <v>1400000</v>
      </c>
      <c r="K24" s="92" t="str">
        <f t="shared" si="8"/>
        <v/>
      </c>
      <c r="L24" s="92" t="str">
        <f t="shared" si="8"/>
        <v/>
      </c>
    </row>
    <row r="25" spans="1:22" ht="24" customHeight="1">
      <c r="A25" s="343" t="s">
        <v>18</v>
      </c>
      <c r="B25" s="342"/>
      <c r="C25" s="92">
        <f t="shared" si="8"/>
        <v>0</v>
      </c>
      <c r="D25" s="92">
        <f t="shared" si="8"/>
        <v>0</v>
      </c>
      <c r="E25" s="92">
        <f t="shared" si="8"/>
        <v>50000</v>
      </c>
      <c r="F25" s="92">
        <f t="shared" si="8"/>
        <v>100000</v>
      </c>
      <c r="G25" s="92">
        <f t="shared" si="8"/>
        <v>150000</v>
      </c>
      <c r="H25" s="92">
        <f t="shared" si="8"/>
        <v>200000</v>
      </c>
      <c r="I25" s="92">
        <f t="shared" si="8"/>
        <v>450000</v>
      </c>
      <c r="J25" s="92">
        <f t="shared" si="8"/>
        <v>450000</v>
      </c>
      <c r="K25" s="92" t="str">
        <f t="shared" si="8"/>
        <v/>
      </c>
      <c r="L25" s="92" t="str">
        <f t="shared" si="8"/>
        <v/>
      </c>
    </row>
    <row r="26" spans="1:22" ht="24" customHeight="1">
      <c r="A26" s="343" t="s">
        <v>19</v>
      </c>
      <c r="B26" s="342"/>
      <c r="C26" s="92">
        <f t="shared" si="8"/>
        <v>350000</v>
      </c>
      <c r="D26" s="92">
        <f t="shared" si="8"/>
        <v>350000</v>
      </c>
      <c r="E26" s="92">
        <f t="shared" si="8"/>
        <v>0</v>
      </c>
      <c r="F26" s="92">
        <f t="shared" si="8"/>
        <v>0</v>
      </c>
      <c r="G26" s="92">
        <f t="shared" si="8"/>
        <v>100000</v>
      </c>
      <c r="H26" s="92">
        <f t="shared" si="8"/>
        <v>200000</v>
      </c>
      <c r="I26" s="92">
        <f t="shared" si="8"/>
        <v>300000</v>
      </c>
      <c r="J26" s="92">
        <f t="shared" si="8"/>
        <v>300000</v>
      </c>
      <c r="K26" s="92" t="str">
        <f t="shared" si="8"/>
        <v/>
      </c>
      <c r="L26" s="92" t="str">
        <f t="shared" si="8"/>
        <v/>
      </c>
    </row>
    <row r="27" spans="1:22" ht="24" customHeight="1">
      <c r="A27" s="343" t="s">
        <v>20</v>
      </c>
      <c r="B27" s="342"/>
      <c r="C27" s="92">
        <f t="shared" si="8"/>
        <v>0</v>
      </c>
      <c r="D27" s="92">
        <f t="shared" si="8"/>
        <v>0</v>
      </c>
      <c r="E27" s="92">
        <f t="shared" si="8"/>
        <v>0</v>
      </c>
      <c r="F27" s="92">
        <f t="shared" si="8"/>
        <v>0</v>
      </c>
      <c r="G27" s="92">
        <f t="shared" si="8"/>
        <v>0</v>
      </c>
      <c r="H27" s="92">
        <f t="shared" si="8"/>
        <v>0</v>
      </c>
      <c r="I27" s="92">
        <f t="shared" si="8"/>
        <v>0</v>
      </c>
      <c r="J27" s="92">
        <f t="shared" si="8"/>
        <v>0</v>
      </c>
      <c r="K27" s="92" t="str">
        <f t="shared" si="8"/>
        <v/>
      </c>
      <c r="L27" s="92" t="str">
        <f t="shared" si="8"/>
        <v/>
      </c>
    </row>
    <row r="28" spans="1:22" ht="24" customHeight="1">
      <c r="A28" s="343" t="s">
        <v>21</v>
      </c>
      <c r="B28" s="342"/>
      <c r="C28" s="92">
        <f t="shared" si="8"/>
        <v>21500</v>
      </c>
      <c r="D28" s="92">
        <f t="shared" si="8"/>
        <v>0</v>
      </c>
      <c r="E28" s="92">
        <f t="shared" si="8"/>
        <v>0</v>
      </c>
      <c r="F28" s="92">
        <f t="shared" si="8"/>
        <v>0</v>
      </c>
      <c r="G28" s="92">
        <f t="shared" si="8"/>
        <v>0</v>
      </c>
      <c r="H28" s="92">
        <f t="shared" si="8"/>
        <v>0</v>
      </c>
      <c r="I28" s="92">
        <f t="shared" si="8"/>
        <v>0</v>
      </c>
      <c r="J28" s="92">
        <f t="shared" si="8"/>
        <v>0</v>
      </c>
      <c r="K28" s="92" t="str">
        <f t="shared" si="8"/>
        <v/>
      </c>
      <c r="L28" s="92" t="str">
        <f t="shared" si="8"/>
        <v/>
      </c>
    </row>
    <row r="29" spans="1:22" ht="24" customHeight="1">
      <c r="A29" s="343" t="s">
        <v>22</v>
      </c>
      <c r="B29" s="342"/>
      <c r="C29" s="92">
        <f t="shared" si="8"/>
        <v>0</v>
      </c>
      <c r="D29" s="92">
        <f t="shared" si="8"/>
        <v>2151</v>
      </c>
      <c r="E29" s="92">
        <f t="shared" si="8"/>
        <v>1137</v>
      </c>
      <c r="F29" s="92">
        <f t="shared" si="8"/>
        <v>4897</v>
      </c>
      <c r="G29" s="92">
        <f t="shared" si="8"/>
        <v>27858</v>
      </c>
      <c r="H29" s="92">
        <f t="shared" si="8"/>
        <v>0</v>
      </c>
      <c r="I29" s="92">
        <f t="shared" si="8"/>
        <v>0</v>
      </c>
      <c r="J29" s="92">
        <f t="shared" si="8"/>
        <v>0</v>
      </c>
      <c r="K29" s="92" t="str">
        <f t="shared" si="8"/>
        <v/>
      </c>
      <c r="L29" s="92" t="str">
        <f t="shared" si="8"/>
        <v/>
      </c>
    </row>
    <row r="30" spans="1:22" ht="24" customHeight="1">
      <c r="A30" s="343" t="s">
        <v>23</v>
      </c>
      <c r="B30" s="342"/>
      <c r="C30" s="92">
        <f t="shared" si="8"/>
        <v>2042224</v>
      </c>
      <c r="D30" s="92">
        <f t="shared" si="8"/>
        <v>2548910</v>
      </c>
      <c r="E30" s="92">
        <f t="shared" si="8"/>
        <v>2042174</v>
      </c>
      <c r="F30" s="92">
        <f t="shared" si="8"/>
        <v>6188750</v>
      </c>
      <c r="G30" s="92">
        <f t="shared" si="8"/>
        <v>11338850</v>
      </c>
      <c r="H30" s="92">
        <f t="shared" si="8"/>
        <v>9495719</v>
      </c>
      <c r="I30" s="92">
        <f t="shared" si="8"/>
        <v>0</v>
      </c>
      <c r="J30" s="92">
        <f t="shared" si="8"/>
        <v>0</v>
      </c>
      <c r="K30" s="92" t="str">
        <f t="shared" si="8"/>
        <v/>
      </c>
      <c r="L30" s="92" t="str">
        <f t="shared" si="8"/>
        <v/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 t="shared" ref="C32:L32" si="9">IF(C$21&gt;$B$3,"",SUM(C22:C30))</f>
        <v>4807335</v>
      </c>
      <c r="D32" s="93">
        <f t="shared" si="9"/>
        <v>5445728</v>
      </c>
      <c r="E32" s="93">
        <f t="shared" si="9"/>
        <v>4705400</v>
      </c>
      <c r="F32" s="93">
        <f t="shared" si="9"/>
        <v>8620449</v>
      </c>
      <c r="G32" s="93">
        <f t="shared" si="9"/>
        <v>12918210</v>
      </c>
      <c r="H32" s="93">
        <f t="shared" si="9"/>
        <v>11495719</v>
      </c>
      <c r="I32" s="93">
        <f t="shared" si="9"/>
        <v>8538603</v>
      </c>
      <c r="J32" s="93">
        <f t="shared" si="9"/>
        <v>6623931</v>
      </c>
      <c r="K32" s="93" t="str">
        <f t="shared" si="9"/>
        <v/>
      </c>
      <c r="L32" s="93" t="str">
        <f t="shared" si="9"/>
        <v/>
      </c>
      <c r="V32" s="80"/>
    </row>
    <row r="33" spans="1:22" ht="30" customHeight="1">
      <c r="A33" s="349" t="s">
        <v>30</v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s">
        <v>32</v>
      </c>
      <c r="B35" s="94">
        <f>MONTH(MAX($A$64:$A$500))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">
        <v>35</v>
      </c>
      <c r="K35" s="345"/>
      <c r="L35" s="345"/>
      <c r="M35" s="80"/>
      <c r="N35" s="80"/>
      <c r="V35" s="80">
        <f>DATE(2026,$B$35,1)</f>
        <v>46296</v>
      </c>
    </row>
    <row r="36" spans="1:22" ht="24" customHeight="1">
      <c r="A36" s="354" t="str">
        <f>"WRAP 입금·사용 ("&amp;COUNTIFS($H$64:$H$500,$V$35,$P$64:$P$500,"내역")&amp;"건)"</f>
        <v>WRAP 입금·사용 (2건)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(10건)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46307.843067106478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8557</v>
      </c>
      <c r="G38" s="310">
        <f t="shared" ref="G38:G59" si="14">IF($N38=0,"",INDEX($U$64:$U$500,$N38))</f>
        <v>46308.851395949067</v>
      </c>
      <c r="H38" s="311" t="str">
        <f t="shared" ref="H38:H59" si="15">SUBSTITUTE(IF($N38=0,"",IF(INDEX($J$64:$J$500,$N38)&lt;&gt;"",INDEX($J$64:$J$500,$N38),INDEX($C$64:$C$500,$N38))),"미래에셋_WRAP형CMA","미래에셋 WRAP")</f>
        <v>신한은행V2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22210</v>
      </c>
      <c r="K38" s="340" t="str">
        <f t="shared" ref="K38:K59" si="18">IF($N38=0,"",INDEX($F$64:$F$500,$N38))</f>
        <v>신한은행V2 → 미래에셋 WRAP</v>
      </c>
      <c r="L38" s="342"/>
      <c r="M38" s="80">
        <f>IFERROR(MATCH(TEXT($V$35,"yyyymm")&amp;"_내역_"&amp;(38-37+($E$35-1)*22),$R$64:$R$500,0),0)</f>
        <v>175</v>
      </c>
      <c r="N38" s="80">
        <f>IFERROR(MATCH(TEXT($V$35,"yyyymm")&amp;"_이체_"&amp;(38-37+($H$35-1)*22),$R$64:$R$500,0),0)</f>
        <v>168</v>
      </c>
    </row>
    <row r="39" spans="1:22" ht="24" customHeight="1">
      <c r="A39" s="310">
        <f t="shared" si="10"/>
        <v>46297.622223078703</v>
      </c>
      <c r="B39" s="311" t="str">
        <f t="shared" si="11"/>
        <v>생활비</v>
      </c>
      <c r="C39" s="340" t="str">
        <f t="shared" si="12"/>
        <v>두끼떡볶이</v>
      </c>
      <c r="D39" s="341"/>
      <c r="E39" s="342"/>
      <c r="F39" s="312">
        <f t="shared" si="13"/>
        <v>-11900</v>
      </c>
      <c r="G39" s="310">
        <f t="shared" si="14"/>
        <v>46308.850696064823</v>
      </c>
      <c r="H39" s="311" t="str">
        <f t="shared" si="15"/>
        <v>미래에셋 WRAP</v>
      </c>
      <c r="I39" s="311" t="str">
        <f t="shared" si="16"/>
        <v>토스뱅크</v>
      </c>
      <c r="J39" s="313">
        <f t="shared" si="17"/>
        <v>236270</v>
      </c>
      <c r="K39" s="340" t="str">
        <f t="shared" si="18"/>
        <v>미래에셋 WRAP → 토스뱅크</v>
      </c>
      <c r="L39" s="342"/>
      <c r="M39" s="80">
        <f>IFERROR(MATCH(TEXT($V$35,"yyyymm")&amp;"_내역_"&amp;(39-37+($E$35-1)*22),$R$64:$R$500,0),0)</f>
        <v>179</v>
      </c>
      <c r="N39" s="80">
        <f>IFERROR(MATCH(TEXT($V$35,"yyyymm")&amp;"_이체_"&amp;(39-37+($H$35-1)*22),$R$64:$R$500,0),0)</f>
        <v>169</v>
      </c>
    </row>
    <row r="40" spans="1:22" ht="24" customHeight="1">
      <c r="A40" s="310" t="str">
        <f t="shared" si="10"/>
        <v/>
      </c>
      <c r="B40" s="311" t="str">
        <f t="shared" si="11"/>
        <v/>
      </c>
      <c r="C40" s="340" t="str">
        <f t="shared" si="12"/>
        <v/>
      </c>
      <c r="D40" s="341"/>
      <c r="E40" s="342"/>
      <c r="F40" s="312" t="str">
        <f t="shared" si="13"/>
        <v/>
      </c>
      <c r="G40" s="310">
        <f t="shared" si="14"/>
        <v>46308.85000755787</v>
      </c>
      <c r="H40" s="311" t="str">
        <f t="shared" si="15"/>
        <v>미래에셋 WRAP</v>
      </c>
      <c r="I40" s="311" t="str">
        <f t="shared" si="16"/>
        <v>우리은행</v>
      </c>
      <c r="J40" s="313">
        <f t="shared" si="17"/>
        <v>246568</v>
      </c>
      <c r="K40" s="340" t="str">
        <f t="shared" si="18"/>
        <v>미래에셋 WRAP → 우리은행</v>
      </c>
      <c r="L40" s="342"/>
      <c r="M40" s="80">
        <f>IFERROR(MATCH(TEXT($V$35,"yyyymm")&amp;"_내역_"&amp;(40-37+($E$35-1)*22),$R$64:$R$500,0),0)</f>
        <v>0</v>
      </c>
      <c r="N40" s="80">
        <f>IFERROR(MATCH(TEXT($V$35,"yyyymm")&amp;"_이체_"&amp;(40-37+($H$35-1)*22),$R$64:$R$500,0),0)</f>
        <v>170</v>
      </c>
    </row>
    <row r="41" spans="1:22" ht="24" customHeight="1">
      <c r="A41" s="310" t="str">
        <f t="shared" si="10"/>
        <v/>
      </c>
      <c r="B41" s="311" t="str">
        <f t="shared" si="11"/>
        <v/>
      </c>
      <c r="C41" s="340" t="str">
        <f t="shared" si="12"/>
        <v/>
      </c>
      <c r="D41" s="341"/>
      <c r="E41" s="342"/>
      <c r="F41" s="312" t="str">
        <f t="shared" si="13"/>
        <v/>
      </c>
      <c r="G41" s="310">
        <f t="shared" si="14"/>
        <v>46308.848613587958</v>
      </c>
      <c r="H41" s="311" t="str">
        <f t="shared" si="15"/>
        <v>미래에셋 WRAP</v>
      </c>
      <c r="I41" s="311" t="str">
        <f t="shared" si="16"/>
        <v>국민은행</v>
      </c>
      <c r="J41" s="313">
        <f t="shared" si="17"/>
        <v>360550</v>
      </c>
      <c r="K41" s="340" t="str">
        <f t="shared" si="18"/>
        <v>미래에셋 WRAP → 국민은행</v>
      </c>
      <c r="L41" s="342"/>
      <c r="M41" s="80">
        <f>IFERROR(MATCH(TEXT($V$35,"yyyymm")&amp;"_내역_"&amp;(41-37+($E$35-1)*22),$R$64:$R$500,0),0)</f>
        <v>0</v>
      </c>
      <c r="N41" s="80">
        <f>IFERROR(MATCH(TEXT($V$35,"yyyymm")&amp;"_이체_"&amp;(41-37+($H$35-1)*22),$R$64:$R$500,0),0)</f>
        <v>171</v>
      </c>
    </row>
    <row r="42" spans="1:22" ht="24" customHeight="1">
      <c r="A42" s="310" t="str">
        <f t="shared" si="10"/>
        <v/>
      </c>
      <c r="B42" s="311" t="str">
        <f t="shared" si="11"/>
        <v/>
      </c>
      <c r="C42" s="340" t="str">
        <f t="shared" si="12"/>
        <v/>
      </c>
      <c r="D42" s="341"/>
      <c r="E42" s="342"/>
      <c r="F42" s="312" t="str">
        <f t="shared" si="13"/>
        <v/>
      </c>
      <c r="G42" s="310">
        <f t="shared" si="14"/>
        <v>46308.847924930553</v>
      </c>
      <c r="H42" s="311" t="str">
        <f t="shared" si="15"/>
        <v>미래에셋 WRAP</v>
      </c>
      <c r="I42" s="311" t="str">
        <f t="shared" si="16"/>
        <v>토스뱅크</v>
      </c>
      <c r="J42" s="313">
        <f t="shared" si="17"/>
        <v>798746</v>
      </c>
      <c r="K42" s="340" t="str">
        <f t="shared" si="18"/>
        <v>미래에셋 WRAP → 토스뱅크</v>
      </c>
      <c r="L42" s="342"/>
      <c r="M42" s="80">
        <f>IFERROR(MATCH(TEXT($V$35,"yyyymm")&amp;"_내역_"&amp;(42-37+($E$35-1)*22),$R$64:$R$500,0),0)</f>
        <v>0</v>
      </c>
      <c r="N42" s="80">
        <f>IFERROR(MATCH(TEXT($V$35,"yyyymm")&amp;"_이체_"&amp;(42-37+($H$35-1)*22),$R$64:$R$500,0),0)</f>
        <v>172</v>
      </c>
    </row>
    <row r="43" spans="1:22" ht="24" customHeight="1">
      <c r="A43" s="310" t="str">
        <f t="shared" si="10"/>
        <v/>
      </c>
      <c r="B43" s="311" t="str">
        <f t="shared" si="11"/>
        <v/>
      </c>
      <c r="C43" s="340" t="str">
        <f t="shared" si="12"/>
        <v/>
      </c>
      <c r="D43" s="341"/>
      <c r="E43" s="342"/>
      <c r="F43" s="312" t="str">
        <f t="shared" si="13"/>
        <v/>
      </c>
      <c r="G43" s="310">
        <f t="shared" si="14"/>
        <v>46308.845837777779</v>
      </c>
      <c r="H43" s="311" t="str">
        <f t="shared" si="15"/>
        <v>토스뱅크</v>
      </c>
      <c r="I43" s="311" t="str">
        <f t="shared" si="16"/>
        <v>미래에셋 WRAP</v>
      </c>
      <c r="J43" s="313">
        <f t="shared" si="17"/>
        <v>604300</v>
      </c>
      <c r="K43" s="340" t="str">
        <f t="shared" si="18"/>
        <v>토스뱅크 → 미래에셋 WRAP</v>
      </c>
      <c r="L43" s="342"/>
      <c r="M43" s="80">
        <f>IFERROR(MATCH(TEXT($V$35,"yyyymm")&amp;"_내역_"&amp;(43-37+($E$35-1)*22),$R$64:$R$500,0),0)</f>
        <v>0</v>
      </c>
      <c r="N43" s="80">
        <f>IFERROR(MATCH(TEXT($V$35,"yyyymm")&amp;"_이체_"&amp;(43-37+($H$35-1)*22),$R$64:$R$500,0),0)</f>
        <v>173</v>
      </c>
    </row>
    <row r="44" spans="1:22" ht="24" customHeight="1">
      <c r="A44" s="310" t="str">
        <f t="shared" si="10"/>
        <v/>
      </c>
      <c r="B44" s="311" t="str">
        <f t="shared" si="11"/>
        <v/>
      </c>
      <c r="C44" s="340" t="str">
        <f t="shared" si="12"/>
        <v/>
      </c>
      <c r="D44" s="341"/>
      <c r="E44" s="342"/>
      <c r="F44" s="312" t="str">
        <f t="shared" si="13"/>
        <v/>
      </c>
      <c r="G44" s="310">
        <f t="shared" si="14"/>
        <v>46308.749010173611</v>
      </c>
      <c r="H44" s="311" t="str">
        <f t="shared" si="15"/>
        <v>미래에셋 WRAP</v>
      </c>
      <c r="I44" s="311" t="str">
        <f t="shared" si="16"/>
        <v>새마을금고</v>
      </c>
      <c r="J44" s="313">
        <f t="shared" si="17"/>
        <v>753905</v>
      </c>
      <c r="K44" s="340" t="str">
        <f t="shared" si="18"/>
        <v>미래에셋 WRAP → 새마을금고</v>
      </c>
      <c r="L44" s="342"/>
      <c r="M44" s="80">
        <f>IFERROR(MATCH(TEXT($V$35,"yyyymm")&amp;"_내역_"&amp;(44-37+($E$35-1)*22),$R$64:$R$500,0),0)</f>
        <v>0</v>
      </c>
      <c r="N44" s="80">
        <f>IFERROR(MATCH(TEXT($V$35,"yyyymm")&amp;"_이체_"&amp;(44-37+($H$35-1)*22),$R$64:$R$500,0),0)</f>
        <v>174</v>
      </c>
    </row>
    <row r="45" spans="1:22" ht="24" customHeight="1">
      <c r="A45" s="310" t="str">
        <f t="shared" si="10"/>
        <v/>
      </c>
      <c r="B45" s="311" t="str">
        <f t="shared" si="11"/>
        <v/>
      </c>
      <c r="C45" s="340" t="str">
        <f t="shared" si="12"/>
        <v/>
      </c>
      <c r="D45" s="341"/>
      <c r="E45" s="342"/>
      <c r="F45" s="312" t="str">
        <f t="shared" si="13"/>
        <v/>
      </c>
      <c r="G45" s="310">
        <f t="shared" si="14"/>
        <v>46307.825001041667</v>
      </c>
      <c r="H45" s="311" t="str">
        <f t="shared" si="15"/>
        <v>미래에셋 WRAP</v>
      </c>
      <c r="I45" s="311" t="str">
        <f t="shared" si="16"/>
        <v>카카오뱅크</v>
      </c>
      <c r="J45" s="313">
        <f t="shared" si="17"/>
        <v>1390</v>
      </c>
      <c r="K45" s="340" t="str">
        <f t="shared" si="18"/>
        <v>미래에셋 WRAP → 카카오뱅크</v>
      </c>
      <c r="L45" s="342"/>
      <c r="M45" s="80">
        <f>IFERROR(MATCH(TEXT($V$35,"yyyymm")&amp;"_내역_"&amp;(45-37+($E$35-1)*22),$R$64:$R$500,0),0)</f>
        <v>0</v>
      </c>
      <c r="N45" s="80">
        <f>IFERROR(MATCH(TEXT($V$35,"yyyymm")&amp;"_이체_"&amp;(45-37+($H$35-1)*22),$R$64:$R$500,0),0)</f>
        <v>176</v>
      </c>
    </row>
    <row r="46" spans="1:22" ht="24" customHeight="1">
      <c r="A46" s="310" t="str">
        <f t="shared" si="10"/>
        <v/>
      </c>
      <c r="B46" s="311" t="str">
        <f t="shared" si="11"/>
        <v/>
      </c>
      <c r="C46" s="340" t="str">
        <f t="shared" si="12"/>
        <v/>
      </c>
      <c r="D46" s="341"/>
      <c r="E46" s="342"/>
      <c r="F46" s="312" t="str">
        <f t="shared" si="13"/>
        <v/>
      </c>
      <c r="G46" s="310">
        <f t="shared" si="14"/>
        <v>46307.824310555552</v>
      </c>
      <c r="H46" s="311" t="str">
        <f t="shared" si="15"/>
        <v>미래에셋 WRAP</v>
      </c>
      <c r="I46" s="311" t="str">
        <f t="shared" si="16"/>
        <v>신한은행</v>
      </c>
      <c r="J46" s="313">
        <f t="shared" si="17"/>
        <v>90410</v>
      </c>
      <c r="K46" s="340" t="str">
        <f t="shared" si="18"/>
        <v>미래에셋 WRAP → 신한은행</v>
      </c>
      <c r="L46" s="342"/>
      <c r="M46" s="80">
        <f>IFERROR(MATCH(TEXT($V$35,"yyyymm")&amp;"_내역_"&amp;(46-37+($E$35-1)*22),$R$64:$R$500,0),0)</f>
        <v>0</v>
      </c>
      <c r="N46" s="80">
        <f>IFERROR(MATCH(TEXT($V$35,"yyyymm")&amp;"_이체_"&amp;(46-37+($H$35-1)*22),$R$64:$R$500,0),0)</f>
        <v>177</v>
      </c>
    </row>
    <row r="47" spans="1:22" ht="24" customHeight="1">
      <c r="A47" s="310" t="str">
        <f t="shared" si="10"/>
        <v/>
      </c>
      <c r="B47" s="311" t="str">
        <f t="shared" si="11"/>
        <v/>
      </c>
      <c r="C47" s="340" t="str">
        <f t="shared" si="12"/>
        <v/>
      </c>
      <c r="D47" s="341"/>
      <c r="E47" s="342"/>
      <c r="F47" s="312" t="str">
        <f t="shared" si="13"/>
        <v/>
      </c>
      <c r="G47" s="310">
        <f t="shared" si="14"/>
        <v>46299.620147118047</v>
      </c>
      <c r="H47" s="311" t="str">
        <f t="shared" si="15"/>
        <v>미래에셋 WRAP</v>
      </c>
      <c r="I47" s="311" t="str">
        <f t="shared" si="16"/>
        <v>모임통장</v>
      </c>
      <c r="J47" s="313">
        <f t="shared" si="17"/>
        <v>50000</v>
      </c>
      <c r="K47" s="340" t="str">
        <f t="shared" si="18"/>
        <v>미래에셋 WRAP → 모임통장</v>
      </c>
      <c r="L47" s="342"/>
      <c r="M47" s="80">
        <f>IFERROR(MATCH(TEXT($V$35,"yyyymm")&amp;"_내역_"&amp;(47-37+($E$35-1)*22),$R$64:$R$500,0),0)</f>
        <v>0</v>
      </c>
      <c r="N47" s="80">
        <f>IFERROR(MATCH(TEXT($V$35,"yyyymm")&amp;"_이체_"&amp;(47-37+($H$35-1)*22),$R$64:$R$500,0),0)</f>
        <v>178</v>
      </c>
    </row>
    <row r="48" spans="1:22" ht="24" customHeight="1">
      <c r="A48" s="310" t="str">
        <f t="shared" si="10"/>
        <v/>
      </c>
      <c r="B48" s="311" t="str">
        <f t="shared" si="11"/>
        <v/>
      </c>
      <c r="C48" s="340" t="str">
        <f t="shared" si="12"/>
        <v/>
      </c>
      <c r="D48" s="341"/>
      <c r="E48" s="342"/>
      <c r="F48" s="312" t="str">
        <f t="shared" si="13"/>
        <v/>
      </c>
      <c r="G48" s="310" t="str">
        <f t="shared" si="14"/>
        <v/>
      </c>
      <c r="H48" s="311" t="str">
        <f t="shared" si="15"/>
        <v/>
      </c>
      <c r="I48" s="311" t="str">
        <f t="shared" si="16"/>
        <v/>
      </c>
      <c r="J48" s="313" t="str">
        <f t="shared" si="17"/>
        <v/>
      </c>
      <c r="K48" s="340" t="str">
        <f t="shared" si="18"/>
        <v/>
      </c>
      <c r="L48" s="342"/>
      <c r="M48" s="80">
        <f>IFERROR(MATCH(TEXT($V$35,"yyyymm")&amp;"_내역_"&amp;(48-37+($E$35-1)*22),$R$64:$R$500,0),0)</f>
        <v>0</v>
      </c>
      <c r="N48" s="80">
        <f>IFERROR(MATCH(TEXT($V$35,"yyyymm")&amp;"_이체_"&amp;(48-37+($H$35-1)*22),$R$64:$R$500,0),0)</f>
        <v>0</v>
      </c>
    </row>
    <row r="49" spans="1:25" ht="24" customHeight="1">
      <c r="A49" s="310" t="str">
        <f t="shared" si="10"/>
        <v/>
      </c>
      <c r="B49" s="311" t="str">
        <f t="shared" si="11"/>
        <v/>
      </c>
      <c r="C49" s="340" t="str">
        <f t="shared" si="12"/>
        <v/>
      </c>
      <c r="D49" s="341"/>
      <c r="E49" s="342"/>
      <c r="F49" s="312" t="str">
        <f t="shared" si="13"/>
        <v/>
      </c>
      <c r="G49" s="310" t="str">
        <f t="shared" si="14"/>
        <v/>
      </c>
      <c r="H49" s="311" t="str">
        <f t="shared" si="15"/>
        <v/>
      </c>
      <c r="I49" s="311" t="str">
        <f t="shared" si="16"/>
        <v/>
      </c>
      <c r="J49" s="313" t="str">
        <f t="shared" si="17"/>
        <v/>
      </c>
      <c r="K49" s="340" t="str">
        <f t="shared" si="18"/>
        <v/>
      </c>
      <c r="L49" s="342"/>
      <c r="M49" s="80">
        <f>IFERROR(MATCH(TEXT($V$35,"yyyymm")&amp;"_내역_"&amp;(49-37+($E$35-1)*22),$R$64:$R$500,0),0)</f>
        <v>0</v>
      </c>
      <c r="N49" s="80">
        <f>IFERROR(MATCH(TEXT($V$35,"yyyymm")&amp;"_이체_"&amp;(49-37+($H$35-1)*22),$R$64:$R$500,0),0)</f>
        <v>0</v>
      </c>
    </row>
    <row r="50" spans="1:25" ht="24" customHeight="1">
      <c r="A50" s="310" t="str">
        <f t="shared" si="10"/>
        <v/>
      </c>
      <c r="B50" s="311" t="str">
        <f t="shared" si="11"/>
        <v/>
      </c>
      <c r="C50" s="340" t="str">
        <f t="shared" si="12"/>
        <v/>
      </c>
      <c r="D50" s="341"/>
      <c r="E50" s="342"/>
      <c r="F50" s="312" t="str">
        <f t="shared" si="13"/>
        <v/>
      </c>
      <c r="G50" s="310" t="str">
        <f t="shared" si="14"/>
        <v/>
      </c>
      <c r="H50" s="311" t="str">
        <f t="shared" si="15"/>
        <v/>
      </c>
      <c r="I50" s="311" t="str">
        <f t="shared" si="16"/>
        <v/>
      </c>
      <c r="J50" s="313" t="str">
        <f t="shared" si="17"/>
        <v/>
      </c>
      <c r="K50" s="340" t="str">
        <f t="shared" si="18"/>
        <v/>
      </c>
      <c r="L50" s="342"/>
      <c r="M50" s="80">
        <f>IFERROR(MATCH(TEXT($V$35,"yyyymm")&amp;"_내역_"&amp;(50-37+($E$35-1)*22),$R$64:$R$500,0),0)</f>
        <v>0</v>
      </c>
      <c r="N50" s="80">
        <f>IFERROR(MATCH(TEXT($V$35,"yyyymm")&amp;"_이체_"&amp;(50-37+($H$35-1)*22),$R$64:$R$500,0),0)</f>
        <v>0</v>
      </c>
    </row>
    <row r="51" spans="1:25" ht="24" customHeight="1">
      <c r="A51" s="310" t="str">
        <f t="shared" si="10"/>
        <v/>
      </c>
      <c r="B51" s="311" t="str">
        <f t="shared" si="11"/>
        <v/>
      </c>
      <c r="C51" s="340" t="str">
        <f t="shared" si="12"/>
        <v/>
      </c>
      <c r="D51" s="341"/>
      <c r="E51" s="342"/>
      <c r="F51" s="312" t="str">
        <f t="shared" si="13"/>
        <v/>
      </c>
      <c r="G51" s="310" t="str">
        <f t="shared" si="14"/>
        <v/>
      </c>
      <c r="H51" s="311" t="str">
        <f t="shared" si="15"/>
        <v/>
      </c>
      <c r="I51" s="311" t="str">
        <f t="shared" si="16"/>
        <v/>
      </c>
      <c r="J51" s="313" t="str">
        <f t="shared" si="17"/>
        <v/>
      </c>
      <c r="K51" s="340" t="str">
        <f t="shared" si="18"/>
        <v/>
      </c>
      <c r="L51" s="342"/>
      <c r="M51" s="80">
        <f>IFERROR(MATCH(TEXT($V$35,"yyyymm")&amp;"_내역_"&amp;(51-37+($E$35-1)*22),$R$64:$R$500,0),0)</f>
        <v>0</v>
      </c>
      <c r="N51" s="80">
        <f>IFERROR(MATCH(TEXT($V$35,"yyyymm")&amp;"_이체_"&amp;(51-37+($H$35-1)*22),$R$64:$R$500,0),0)</f>
        <v>0</v>
      </c>
    </row>
    <row r="52" spans="1:25" ht="24" customHeight="1">
      <c r="A52" s="310" t="str">
        <f t="shared" si="10"/>
        <v/>
      </c>
      <c r="B52" s="311" t="str">
        <f t="shared" si="11"/>
        <v/>
      </c>
      <c r="C52" s="340" t="str">
        <f t="shared" si="12"/>
        <v/>
      </c>
      <c r="D52" s="341"/>
      <c r="E52" s="342"/>
      <c r="F52" s="312" t="str">
        <f t="shared" si="13"/>
        <v/>
      </c>
      <c r="G52" s="310" t="str">
        <f t="shared" si="14"/>
        <v/>
      </c>
      <c r="H52" s="311" t="str">
        <f t="shared" si="15"/>
        <v/>
      </c>
      <c r="I52" s="311" t="str">
        <f t="shared" si="16"/>
        <v/>
      </c>
      <c r="J52" s="313" t="str">
        <f t="shared" si="17"/>
        <v/>
      </c>
      <c r="K52" s="340" t="str">
        <f t="shared" si="18"/>
        <v/>
      </c>
      <c r="L52" s="342"/>
      <c r="M52" s="80">
        <f>IFERROR(MATCH(TEXT($V$35,"yyyymm")&amp;"_내역_"&amp;(52-37+($E$35-1)*22),$R$64:$R$500,0),0)</f>
        <v>0</v>
      </c>
      <c r="N52" s="80">
        <f>IFERROR(MATCH(TEXT($V$35,"yyyymm")&amp;"_이체_"&amp;(52-37+($H$35-1)*22),$R$64:$R$500,0),0)</f>
        <v>0</v>
      </c>
    </row>
    <row r="53" spans="1:25" ht="24" customHeight="1">
      <c r="A53" s="310" t="str">
        <f t="shared" si="10"/>
        <v/>
      </c>
      <c r="B53" s="311" t="str">
        <f t="shared" si="11"/>
        <v/>
      </c>
      <c r="C53" s="340" t="str">
        <f t="shared" si="12"/>
        <v/>
      </c>
      <c r="D53" s="341"/>
      <c r="E53" s="342"/>
      <c r="F53" s="312" t="str">
        <f t="shared" si="13"/>
        <v/>
      </c>
      <c r="G53" s="310" t="str">
        <f t="shared" si="14"/>
        <v/>
      </c>
      <c r="H53" s="311" t="str">
        <f t="shared" si="15"/>
        <v/>
      </c>
      <c r="I53" s="311" t="str">
        <f t="shared" si="16"/>
        <v/>
      </c>
      <c r="J53" s="313" t="str">
        <f t="shared" si="17"/>
        <v/>
      </c>
      <c r="K53" s="340" t="str">
        <f t="shared" si="18"/>
        <v/>
      </c>
      <c r="L53" s="342"/>
      <c r="M53" s="80">
        <f>IFERROR(MATCH(TEXT($V$35,"yyyymm")&amp;"_내역_"&amp;(53-37+($E$35-1)*22),$R$64:$R$500,0),0)</f>
        <v>0</v>
      </c>
      <c r="N53" s="80">
        <f>IFERROR(MATCH(TEXT($V$35,"yyyymm")&amp;"_이체_"&amp;(53-37+($H$35-1)*22),$R$64:$R$500,0),0)</f>
        <v>0</v>
      </c>
    </row>
    <row r="54" spans="1:25" ht="24" customHeight="1">
      <c r="A54" s="310" t="str">
        <f t="shared" si="10"/>
        <v/>
      </c>
      <c r="B54" s="311" t="str">
        <f t="shared" si="11"/>
        <v/>
      </c>
      <c r="C54" s="340" t="str">
        <f t="shared" si="12"/>
        <v/>
      </c>
      <c r="D54" s="341"/>
      <c r="E54" s="342"/>
      <c r="F54" s="312" t="str">
        <f t="shared" si="13"/>
        <v/>
      </c>
      <c r="G54" s="310" t="str">
        <f t="shared" si="14"/>
        <v/>
      </c>
      <c r="H54" s="311" t="str">
        <f t="shared" si="15"/>
        <v/>
      </c>
      <c r="I54" s="311" t="str">
        <f t="shared" si="16"/>
        <v/>
      </c>
      <c r="J54" s="313" t="str">
        <f t="shared" si="17"/>
        <v/>
      </c>
      <c r="K54" s="340" t="str">
        <f t="shared" si="18"/>
        <v/>
      </c>
      <c r="L54" s="342"/>
      <c r="M54" s="80">
        <f>IFERROR(MATCH(TEXT($V$35,"yyyymm")&amp;"_내역_"&amp;(54-37+($E$35-1)*22),$R$64:$R$500,0),0)</f>
        <v>0</v>
      </c>
      <c r="N54" s="80">
        <f>IFERROR(MATCH(TEXT($V$35,"yyyymm")&amp;"_이체_"&amp;(54-37+($H$35-1)*22),$R$64:$R$500,0),0)</f>
        <v>0</v>
      </c>
    </row>
    <row r="55" spans="1:25" ht="24" customHeight="1">
      <c r="A55" s="310" t="str">
        <f t="shared" si="10"/>
        <v/>
      </c>
      <c r="B55" s="311" t="str">
        <f t="shared" si="11"/>
        <v/>
      </c>
      <c r="C55" s="340" t="str">
        <f t="shared" si="12"/>
        <v/>
      </c>
      <c r="D55" s="341"/>
      <c r="E55" s="342"/>
      <c r="F55" s="312" t="str">
        <f t="shared" si="13"/>
        <v/>
      </c>
      <c r="G55" s="310" t="str">
        <f t="shared" si="14"/>
        <v/>
      </c>
      <c r="H55" s="311" t="str">
        <f t="shared" si="15"/>
        <v/>
      </c>
      <c r="I55" s="311" t="str">
        <f t="shared" si="16"/>
        <v/>
      </c>
      <c r="J55" s="313" t="str">
        <f t="shared" si="17"/>
        <v/>
      </c>
      <c r="K55" s="340" t="str">
        <f t="shared" si="18"/>
        <v/>
      </c>
      <c r="L55" s="342"/>
      <c r="M55" s="80">
        <f>IFERROR(MATCH(TEXT($V$35,"yyyymm")&amp;"_내역_"&amp;(55-37+($E$35-1)*22),$R$64:$R$500,0),0)</f>
        <v>0</v>
      </c>
      <c r="N55" s="80">
        <f>IFERROR(MATCH(TEXT($V$35,"yyyymm")&amp;"_이체_"&amp;(55-37+($H$35-1)*22),$R$64:$R$500,0),0)</f>
        <v>0</v>
      </c>
    </row>
    <row r="56" spans="1:25" ht="24" customHeight="1">
      <c r="A56" s="310" t="str">
        <f t="shared" si="10"/>
        <v/>
      </c>
      <c r="B56" s="311" t="str">
        <f t="shared" si="11"/>
        <v/>
      </c>
      <c r="C56" s="340" t="str">
        <f t="shared" si="12"/>
        <v/>
      </c>
      <c r="D56" s="341"/>
      <c r="E56" s="342"/>
      <c r="F56" s="312" t="str">
        <f t="shared" si="13"/>
        <v/>
      </c>
      <c r="G56" s="310" t="str">
        <f t="shared" si="14"/>
        <v/>
      </c>
      <c r="H56" s="311" t="str">
        <f t="shared" si="15"/>
        <v/>
      </c>
      <c r="I56" s="311" t="str">
        <f t="shared" si="16"/>
        <v/>
      </c>
      <c r="J56" s="313" t="str">
        <f t="shared" si="17"/>
        <v/>
      </c>
      <c r="K56" s="340" t="str">
        <f t="shared" si="18"/>
        <v/>
      </c>
      <c r="L56" s="342"/>
      <c r="M56" s="80">
        <f>IFERROR(MATCH(TEXT($V$35,"yyyymm")&amp;"_내역_"&amp;(56-37+($E$35-1)*22),$R$64:$R$500,0),0)</f>
        <v>0</v>
      </c>
      <c r="N56" s="80">
        <f>IFERROR(MATCH(TEXT($V$35,"yyyymm")&amp;"_이체_"&amp;(56-37+($H$35-1)*22),$R$64:$R$500,0),0)</f>
        <v>0</v>
      </c>
    </row>
    <row r="57" spans="1:25" ht="24" customHeight="1">
      <c r="A57" s="310" t="str">
        <f t="shared" si="10"/>
        <v/>
      </c>
      <c r="B57" s="311" t="str">
        <f t="shared" si="11"/>
        <v/>
      </c>
      <c r="C57" s="340" t="str">
        <f t="shared" si="12"/>
        <v/>
      </c>
      <c r="D57" s="341"/>
      <c r="E57" s="342"/>
      <c r="F57" s="312" t="str">
        <f t="shared" si="13"/>
        <v/>
      </c>
      <c r="G57" s="310" t="str">
        <f t="shared" si="14"/>
        <v/>
      </c>
      <c r="H57" s="311" t="str">
        <f t="shared" si="15"/>
        <v/>
      </c>
      <c r="I57" s="311" t="str">
        <f t="shared" si="16"/>
        <v/>
      </c>
      <c r="J57" s="313" t="str">
        <f t="shared" si="17"/>
        <v/>
      </c>
      <c r="K57" s="340" t="str">
        <f t="shared" si="18"/>
        <v/>
      </c>
      <c r="L57" s="342"/>
      <c r="M57" s="80">
        <f>IFERROR(MATCH(TEXT($V$35,"yyyymm")&amp;"_내역_"&amp;(57-37+($E$35-1)*22),$R$64:$R$500,0),0)</f>
        <v>0</v>
      </c>
      <c r="N57" s="80">
        <f>IFERROR(MATCH(TEXT($V$35,"yyyymm")&amp;"_이체_"&amp;(57-37+($H$35-1)*22),$R$64:$R$500,0),0)</f>
        <v>0</v>
      </c>
    </row>
    <row r="58" spans="1:25" ht="24" customHeight="1">
      <c r="A58" s="310" t="str">
        <f t="shared" si="10"/>
        <v/>
      </c>
      <c r="B58" s="311" t="str">
        <f t="shared" si="11"/>
        <v/>
      </c>
      <c r="C58" s="340" t="str">
        <f t="shared" si="12"/>
        <v/>
      </c>
      <c r="D58" s="341"/>
      <c r="E58" s="342"/>
      <c r="F58" s="312" t="str">
        <f t="shared" si="13"/>
        <v/>
      </c>
      <c r="G58" s="310" t="str">
        <f t="shared" si="14"/>
        <v/>
      </c>
      <c r="H58" s="311" t="str">
        <f t="shared" si="15"/>
        <v/>
      </c>
      <c r="I58" s="311" t="str">
        <f t="shared" si="16"/>
        <v/>
      </c>
      <c r="J58" s="313" t="str">
        <f t="shared" si="17"/>
        <v/>
      </c>
      <c r="K58" s="340" t="str">
        <f t="shared" si="18"/>
        <v/>
      </c>
      <c r="L58" s="342"/>
      <c r="M58" s="80">
        <f>IFERROR(MATCH(TEXT($V$35,"yyyymm")&amp;"_내역_"&amp;(58-37+($E$35-1)*22),$R$64:$R$500,0),0)</f>
        <v>0</v>
      </c>
      <c r="N58" s="80">
        <f>IFERROR(MATCH(TEXT($V$35,"yyyymm")&amp;"_이체_"&amp;(58-37+($H$35-1)*22),$R$64:$R$500,0),0)</f>
        <v>0</v>
      </c>
    </row>
    <row r="59" spans="1:25" ht="24" customHeight="1">
      <c r="A59" s="310" t="str">
        <f t="shared" si="10"/>
        <v/>
      </c>
      <c r="B59" s="311" t="str">
        <f t="shared" si="11"/>
        <v/>
      </c>
      <c r="C59" s="340" t="str">
        <f t="shared" si="12"/>
        <v/>
      </c>
      <c r="D59" s="341"/>
      <c r="E59" s="342"/>
      <c r="F59" s="312" t="str">
        <f t="shared" si="13"/>
        <v/>
      </c>
      <c r="G59" s="310" t="str">
        <f t="shared" si="14"/>
        <v/>
      </c>
      <c r="H59" s="311" t="str">
        <f t="shared" si="15"/>
        <v/>
      </c>
      <c r="I59" s="311" t="str">
        <f t="shared" si="16"/>
        <v/>
      </c>
      <c r="J59" s="313" t="str">
        <f t="shared" si="17"/>
        <v/>
      </c>
      <c r="K59" s="340" t="str">
        <f t="shared" si="18"/>
        <v/>
      </c>
      <c r="L59" s="342"/>
      <c r="M59" s="80">
        <f>IFERROR(MATCH(TEXT($V$35,"yyyymm")&amp;"_내역_"&amp;(59-37+($E$35-1)*22),$R$64:$R$500,0),0)</f>
        <v>0</v>
      </c>
      <c r="N59" s="80">
        <f>IFERROR(MATCH(TEXT($V$35,"yyyymm")&amp;"_이체_"&amp;(59-37+($H$35-1)*22),$R$64:$R$500,0),0)</f>
        <v>0</v>
      </c>
    </row>
    <row r="60" spans="1:25" ht="40" customHeight="1">
      <c r="A60" s="349" t="s">
        <v>41</v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s">
        <v>42</v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</v>
      </c>
      <c r="V64" s="81"/>
      <c r="Y64">
        <f t="shared" ref="Y64:Y127" si="26">IF(A64="","",IF(I64="OK",E64,0))</f>
        <v>229000</v>
      </c>
    </row>
    <row r="65" spans="1:25" ht="40" customHeight="1" outlineLevel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</v>
      </c>
      <c r="V65" s="81"/>
      <c r="Y65">
        <f t="shared" si="26"/>
        <v>50000</v>
      </c>
    </row>
    <row r="66" spans="1:25" ht="40" customHeight="1" outlineLevel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</v>
      </c>
      <c r="V66" s="81"/>
      <c r="Y66">
        <f t="shared" si="26"/>
        <v>1200000</v>
      </c>
    </row>
    <row r="67" spans="1:25" ht="40" customHeight="1" outlineLevel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</v>
      </c>
      <c r="V67" s="81"/>
      <c r="Y67">
        <f t="shared" si="26"/>
        <v>300000</v>
      </c>
    </row>
    <row r="68" spans="1:25" ht="40" customHeight="1" outlineLevel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</v>
      </c>
      <c r="V68" s="81"/>
      <c r="Y68">
        <f t="shared" si="26"/>
        <v>2042224</v>
      </c>
    </row>
    <row r="69" spans="1:25" ht="40" customHeight="1" outlineLevel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</row>
    <row r="70" spans="1:25" ht="40" customHeight="1" outlineLevel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</row>
    <row r="71" spans="1:25" ht="40" customHeight="1" outlineLevel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</row>
    <row r="72" spans="1:25" ht="40" customHeight="1" outlineLevel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</row>
    <row r="73" spans="1:25" ht="40" customHeight="1" outlineLevel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</row>
    <row r="74" spans="1:25" ht="40" customHeight="1" outlineLevel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</row>
    <row r="75" spans="1:25" ht="40" customHeight="1" outlineLevel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</row>
    <row r="76" spans="1:25" ht="40" customHeight="1" outlineLevel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</row>
    <row r="77" spans="1:25" ht="40" customHeight="1" outlineLevel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</row>
    <row r="78" spans="1:25" ht="40" customHeight="1" outlineLevel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</row>
    <row r="79" spans="1:25" ht="40" customHeight="1" outlineLevel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 t="str">
        <f t="shared" si="21"/>
        <v/>
      </c>
      <c r="Q79" s="81" t="str">
        <f t="shared" si="22"/>
        <v/>
      </c>
      <c r="R79" s="81" t="str">
        <f>IF(P79="","",TEXT(H79,"yyyymm")&amp;"_"&amp;P79&amp;"_"&amp;(COUNTIFS($H$64:$H$500,H79,$P$64:$P$500,P79,$A$64:$A$500,"&gt;"&amp;A79)+COUNTIFS($H$64:H79,H79,$P$64:P79,P79,$A$64:A79,A79)))</f>
        <v/>
      </c>
      <c r="S79" s="81" t="str">
        <f t="shared" si="23"/>
        <v/>
      </c>
      <c r="T79" s="81" t="str">
        <f t="shared" si="24"/>
        <v/>
      </c>
      <c r="U79" s="81" t="str">
        <f t="shared" si="25"/>
        <v/>
      </c>
      <c r="V79" s="81"/>
      <c r="Y79">
        <f t="shared" si="26"/>
        <v>58908</v>
      </c>
    </row>
    <row r="80" spans="1:25" ht="40" customHeight="1" outlineLevel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 t="str">
        <f t="shared" si="21"/>
        <v/>
      </c>
      <c r="Q80" s="81" t="str">
        <f t="shared" si="22"/>
        <v/>
      </c>
      <c r="R80" s="81" t="str">
        <f>IF(P80="","",TEXT(H80,"yyyymm")&amp;"_"&amp;P80&amp;"_"&amp;(COUNTIFS($H$64:$H$500,H80,$P$64:$P$500,P80,$A$64:$A$500,"&gt;"&amp;A80)+COUNTIFS($H$64:H80,H80,$P$64:P80,P80,$A$64:A80,A80)))</f>
        <v/>
      </c>
      <c r="S80" s="81" t="str">
        <f t="shared" si="23"/>
        <v/>
      </c>
      <c r="T80" s="81" t="str">
        <f t="shared" si="24"/>
        <v/>
      </c>
      <c r="U80" s="81" t="str">
        <f t="shared" si="25"/>
        <v/>
      </c>
      <c r="V80" s="81"/>
      <c r="Y80">
        <f t="shared" si="26"/>
        <v>21500</v>
      </c>
    </row>
    <row r="81" spans="1:25" ht="40" customHeight="1" outlineLevel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</row>
    <row r="82" spans="1:25" ht="40" customHeight="1" outlineLevel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</row>
    <row r="83" spans="1:25" ht="40" customHeight="1" outlineLevel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</row>
    <row r="84" spans="1:25" ht="40" customHeight="1" outlineLevel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</row>
    <row r="85" spans="1:25" ht="40" customHeight="1" outlineLevel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</row>
    <row r="86" spans="1:25" ht="40" customHeight="1" outlineLevel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</row>
    <row r="87" spans="1:25" ht="40" customHeight="1" outlineLevel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</row>
    <row r="88" spans="1:25" ht="40" customHeight="1" outlineLevel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</row>
    <row r="89" spans="1:25" ht="40" customHeight="1" outlineLevel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</row>
    <row r="90" spans="1:25" ht="40" customHeight="1" outlineLevel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</row>
    <row r="91" spans="1:25" ht="40" customHeight="1" outlineLevel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</row>
    <row r="92" spans="1:25" ht="40" customHeight="1" outlineLevel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</row>
    <row r="93" spans="1:25" ht="40" customHeight="1" outlineLevel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 t="str">
        <f t="shared" si="21"/>
        <v/>
      </c>
      <c r="Q93" s="81" t="str">
        <f t="shared" si="22"/>
        <v/>
      </c>
      <c r="R93" s="81" t="str">
        <f>IF(P93="","",TEXT(H93,"yyyymm")&amp;"_"&amp;P93&amp;"_"&amp;(COUNTIFS($H$64:$H$500,H93,$P$64:$P$500,P93,$A$64:$A$500,"&gt;"&amp;A93)+COUNTIFS($H$64:H93,H93,$P$64:P93,P93,$A$64:A93,A93)))</f>
        <v/>
      </c>
      <c r="S93" s="81" t="str">
        <f t="shared" si="23"/>
        <v/>
      </c>
      <c r="T93" s="81" t="str">
        <f t="shared" si="24"/>
        <v/>
      </c>
      <c r="U93" s="81" t="str">
        <f t="shared" si="25"/>
        <v/>
      </c>
      <c r="V93" s="81"/>
      <c r="Y93">
        <f t="shared" si="26"/>
        <v>252552</v>
      </c>
    </row>
    <row r="94" spans="1:25" ht="40" customHeight="1" outlineLevel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</row>
    <row r="95" spans="1:25" ht="40" customHeight="1" outlineLevel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</row>
    <row r="96" spans="1:25" ht="40" customHeight="1" outlineLevel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</row>
    <row r="97" spans="1:25" ht="40" customHeight="1" outlineLevel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 t="str">
        <f t="shared" si="21"/>
        <v/>
      </c>
      <c r="Q97" s="81" t="str">
        <f t="shared" si="22"/>
        <v/>
      </c>
      <c r="R97" s="81" t="str">
        <f>IF(P97="","",TEXT(H97,"yyyymm")&amp;"_"&amp;P97&amp;"_"&amp;(COUNTIFS($H$64:$H$500,H97,$P$64:$P$500,P97,$A$64:$A$500,"&gt;"&amp;A97)+COUNTIFS($H$64:H97,H97,$P$64:P97,P97,$A$64:A97,A97)))</f>
        <v/>
      </c>
      <c r="S97" s="81" t="str">
        <f t="shared" si="23"/>
        <v/>
      </c>
      <c r="T97" s="81" t="str">
        <f t="shared" si="24"/>
        <v/>
      </c>
      <c r="U97" s="81" t="str">
        <f t="shared" si="25"/>
        <v/>
      </c>
      <c r="V97" s="81"/>
      <c r="Y97">
        <f t="shared" si="26"/>
        <v>51100</v>
      </c>
    </row>
    <row r="98" spans="1:25" ht="40" customHeight="1" outlineLevel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</row>
    <row r="99" spans="1:25" ht="40" customHeight="1" outlineLevel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 t="str">
        <f t="shared" si="21"/>
        <v/>
      </c>
      <c r="Q99" s="81" t="str">
        <f t="shared" si="22"/>
        <v/>
      </c>
      <c r="R99" s="81" t="str">
        <f>IF(P99="","",TEXT(H99,"yyyymm")&amp;"_"&amp;P99&amp;"_"&amp;(COUNTIFS($H$64:$H$500,H99,$P$64:$P$500,P99,$A$64:$A$500,"&gt;"&amp;A99)+COUNTIFS($H$64:H99,H99,$P$64:P99,P99,$A$64:A99,A99)))</f>
        <v/>
      </c>
      <c r="S99" s="81" t="str">
        <f t="shared" si="23"/>
        <v/>
      </c>
      <c r="T99" s="81" t="str">
        <f t="shared" si="24"/>
        <v/>
      </c>
      <c r="U99" s="81" t="str">
        <f t="shared" si="25"/>
        <v/>
      </c>
      <c r="V99" s="81"/>
      <c r="Y99">
        <f t="shared" si="26"/>
        <v>160133</v>
      </c>
    </row>
    <row r="100" spans="1:25" ht="40" customHeight="1" outlineLevel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 t="str">
        <f t="shared" si="21"/>
        <v/>
      </c>
      <c r="Q100" s="81" t="str">
        <f t="shared" si="22"/>
        <v/>
      </c>
      <c r="R100" s="81" t="str">
        <f>IF(P100="","",TEXT(H100,"yyyymm")&amp;"_"&amp;P100&amp;"_"&amp;(COUNTIFS($H$64:$H$500,H100,$P$64:$P$500,P100,$A$64:$A$500,"&gt;"&amp;A100)+COUNTIFS($H$64:H100,H100,$P$64:P100,P100,$A$64:A100,A100)))</f>
        <v/>
      </c>
      <c r="S100" s="81" t="str">
        <f t="shared" si="23"/>
        <v/>
      </c>
      <c r="T100" s="81" t="str">
        <f t="shared" si="24"/>
        <v/>
      </c>
      <c r="U100" s="81" t="str">
        <f t="shared" si="25"/>
        <v/>
      </c>
      <c r="V100" s="81"/>
      <c r="Y100">
        <f t="shared" si="26"/>
        <v>36020</v>
      </c>
    </row>
    <row r="101" spans="1:25" ht="40" customHeight="1" outlineLevel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</row>
    <row r="102" spans="1:25" ht="40" customHeight="1" outlineLevel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</row>
    <row r="103" spans="1:25" ht="40" customHeight="1" outlineLevel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</row>
    <row r="104" spans="1:25" ht="40" customHeight="1" outlineLevel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</row>
    <row r="105" spans="1:25" ht="40" customHeight="1" outlineLevel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</row>
    <row r="106" spans="1:25" ht="40" customHeight="1" outlineLevel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</row>
    <row r="107" spans="1:25" ht="40" customHeight="1" outlineLevel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</row>
    <row r="108" spans="1:25" ht="40" customHeight="1" outlineLevel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</row>
    <row r="109" spans="1:25" ht="40" customHeight="1" outlineLevel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</row>
    <row r="110" spans="1:25" ht="40" customHeight="1" outlineLevel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</row>
    <row r="111" spans="1:25" ht="40" customHeight="1" outlineLevel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</row>
    <row r="112" spans="1:25" ht="40" customHeight="1" outlineLevel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</row>
    <row r="113" spans="1:25" ht="40" customHeight="1" outlineLevel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</row>
    <row r="114" spans="1:25" ht="40" customHeight="1" outlineLevel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</row>
    <row r="115" spans="1:25" ht="40" customHeight="1" outlineLevel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</row>
    <row r="116" spans="1:25" ht="40" customHeight="1" outlineLevel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</row>
    <row r="117" spans="1:25" ht="40" customHeight="1" outlineLevel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</row>
    <row r="118" spans="1:25" ht="40" customHeight="1" outlineLevel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</row>
    <row r="119" spans="1:25" ht="40" customHeight="1" outlineLevel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</row>
    <row r="120" spans="1:25" ht="40" customHeight="1" outlineLevel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</row>
    <row r="121" spans="1:25" ht="40" customHeight="1" outlineLevel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</row>
    <row r="122" spans="1:25" ht="40" customHeight="1" outlineLevel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 t="str">
        <f t="shared" si="21"/>
        <v/>
      </c>
      <c r="Q122" s="81" t="str">
        <f t="shared" si="22"/>
        <v/>
      </c>
      <c r="R122" s="81" t="str">
        <f>IF(P122="","",TEXT(H122,"yyyymm")&amp;"_"&amp;P122&amp;"_"&amp;(COUNTIFS($H$64:$H$500,H122,$P$64:$P$500,P122,$A$64:$A$500,"&gt;"&amp;A122)+COUNTIFS($H$64:H122,H122,$P$64:P122,P122,$A$64:A122,A122)))</f>
        <v/>
      </c>
      <c r="S122" s="81" t="str">
        <f t="shared" si="23"/>
        <v/>
      </c>
      <c r="T122" s="81" t="str">
        <f t="shared" si="24"/>
        <v/>
      </c>
      <c r="U122" s="81" t="str">
        <f t="shared" si="25"/>
        <v/>
      </c>
      <c r="V122" s="81"/>
      <c r="Y122">
        <f t="shared" si="26"/>
        <v>179831</v>
      </c>
    </row>
    <row r="123" spans="1:25" ht="40" customHeight="1" outlineLevel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</row>
    <row r="124" spans="1:25" ht="40" customHeight="1" outlineLevel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</row>
    <row r="125" spans="1:25" ht="40" customHeight="1" outlineLevel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</row>
    <row r="126" spans="1:25" ht="40" customHeight="1" outlineLevel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</row>
    <row r="127" spans="1:25" ht="40" customHeight="1" outlineLevel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</row>
    <row r="128" spans="1:25" ht="40" customHeight="1" outlineLevel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</row>
    <row r="129" spans="1:25" ht="40" customHeight="1" outlineLevel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</row>
    <row r="130" spans="1:25" ht="40" customHeight="1" outlineLevel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</row>
    <row r="131" spans="1:25" ht="40" customHeight="1" outlineLevel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</row>
    <row r="132" spans="1:25" ht="40" customHeight="1" outlineLevel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</row>
    <row r="133" spans="1:25" ht="40" customHeight="1" outlineLevel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</row>
    <row r="134" spans="1:25" ht="40" customHeight="1" outlineLevel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</row>
    <row r="135" spans="1:25" ht="40" customHeight="1" outlineLevel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</row>
    <row r="136" spans="1:25" ht="40" customHeight="1" outlineLevel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</row>
    <row r="137" spans="1:25" ht="40" customHeight="1" outlineLevel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</row>
    <row r="138" spans="1:25" ht="40" customHeight="1" outlineLevel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</row>
    <row r="139" spans="1:25" ht="40" customHeight="1" outlineLevel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</row>
    <row r="140" spans="1:25" ht="40" customHeight="1" outlineLevel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</row>
    <row r="141" spans="1:25" ht="40" customHeight="1" outlineLevel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</row>
    <row r="142" spans="1:25" ht="40" customHeight="1" outlineLevel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</row>
    <row r="143" spans="1:25" ht="40" customHeight="1" outlineLevel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 t="str">
        <f t="shared" si="29"/>
        <v/>
      </c>
      <c r="Q143" s="81" t="str">
        <f t="shared" si="30"/>
        <v/>
      </c>
      <c r="R143" s="81" t="str">
        <f>IF(P143="","",TEXT(H143,"yyyymm")&amp;"_"&amp;P143&amp;"_"&amp;(COUNTIFS($H$64:$H$500,H143,$P$64:$P$500,P143,$A$64:$A$500,"&gt;"&amp;A143)+COUNTIFS($H$64:H143,H143,$P$64:P143,P143,$A$64:A143,A143)))</f>
        <v/>
      </c>
      <c r="S143" s="81" t="str">
        <f t="shared" si="31"/>
        <v/>
      </c>
      <c r="T143" s="81" t="str">
        <f t="shared" si="32"/>
        <v/>
      </c>
      <c r="U143" s="81" t="str">
        <f t="shared" si="33"/>
        <v/>
      </c>
      <c r="V143" s="81"/>
      <c r="Y143">
        <f t="shared" si="34"/>
        <v>345287</v>
      </c>
    </row>
    <row r="144" spans="1:25" ht="40" customHeight="1" outlineLevel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</row>
    <row r="145" spans="1:25" ht="40" customHeight="1" outlineLevel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</row>
    <row r="146" spans="1:25" ht="40" customHeight="1" outlineLevel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</row>
    <row r="147" spans="1:25" ht="40" customHeight="1" outlineLevel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</row>
    <row r="148" spans="1:25" ht="40" customHeight="1" outlineLevel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</row>
    <row r="149" spans="1:25" ht="40" customHeight="1" outlineLevel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</row>
    <row r="150" spans="1:25" ht="40" customHeight="1" outlineLevel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</row>
    <row r="151" spans="1:25" ht="40" customHeight="1" outlineLevel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</row>
    <row r="152" spans="1:25" ht="40" customHeight="1" outlineLevel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</row>
    <row r="153" spans="1:25" ht="40" customHeight="1" outlineLevel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</row>
    <row r="154" spans="1:25" ht="40" customHeight="1" outlineLevel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</row>
    <row r="155" spans="1:25" ht="40" customHeight="1" outlineLevel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</row>
    <row r="156" spans="1:25" ht="40" customHeight="1" outlineLevel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</row>
    <row r="157" spans="1:25" ht="40" customHeight="1" outlineLevel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</row>
    <row r="158" spans="1:25" ht="40" customHeight="1" outlineLevel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</row>
    <row r="159" spans="1:25" ht="40" customHeight="1" outlineLevel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</row>
    <row r="160" spans="1:25" ht="40" customHeight="1" outlineLevel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</row>
    <row r="161" spans="1:25" ht="40" customHeight="1" outlineLevel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</row>
    <row r="162" spans="1:25" ht="40" customHeight="1" outlineLevel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</row>
    <row r="163" spans="1:25" ht="40" customHeight="1" outlineLevel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</row>
    <row r="164" spans="1:25" ht="40" customHeight="1" outlineLevel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</row>
    <row r="165" spans="1:25" ht="40" customHeight="1" outlineLevel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</row>
    <row r="166" spans="1:25" ht="40" customHeight="1" outlineLevel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</row>
    <row r="167" spans="1:25" ht="40" customHeight="1" outlineLevel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</row>
    <row r="168" spans="1:25" ht="40" customHeight="1" outlineLevel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</row>
    <row r="169" spans="1:25" ht="40" customHeight="1" outlineLevel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</row>
    <row r="170" spans="1:25" ht="40" customHeight="1" outlineLevel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</row>
    <row r="171" spans="1:25" ht="40" customHeight="1" outlineLevel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</row>
    <row r="172" spans="1:25" ht="40" customHeight="1" outlineLevel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</row>
    <row r="173" spans="1:25" ht="40" customHeight="1" outlineLevel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 t="str">
        <f t="shared" si="29"/>
        <v/>
      </c>
      <c r="Q173" s="81" t="str">
        <f t="shared" si="30"/>
        <v/>
      </c>
      <c r="R173" s="81" t="str">
        <f>IF(P173="","",TEXT(H173,"yyyymm")&amp;"_"&amp;P173&amp;"_"&amp;(COUNTIFS($H$64:$H$500,H173,$P$64:$P$500,P173,$A$64:$A$500,"&gt;"&amp;A173)+COUNTIFS($H$64:H173,H173,$P$64:P173,P173,$A$64:A173,A173)))</f>
        <v/>
      </c>
      <c r="S173" s="81" t="str">
        <f t="shared" si="31"/>
        <v/>
      </c>
      <c r="T173" s="81" t="str">
        <f t="shared" si="32"/>
        <v/>
      </c>
      <c r="U173" s="81" t="str">
        <f t="shared" si="33"/>
        <v/>
      </c>
      <c r="V173" s="81"/>
      <c r="Y173">
        <f t="shared" si="34"/>
        <v>15334</v>
      </c>
    </row>
    <row r="174" spans="1:25" ht="40" customHeight="1" outlineLevel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</row>
    <row r="175" spans="1:25" ht="40" customHeight="1" outlineLevel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</row>
    <row r="176" spans="1:25" ht="40" customHeight="1" outlineLevel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</row>
    <row r="177" spans="1:25" ht="40" customHeight="1" outlineLevel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</row>
    <row r="178" spans="1:25" ht="40" customHeight="1" outlineLevel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</row>
    <row r="179" spans="1:25" ht="40" customHeight="1" outlineLevel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</row>
    <row r="180" spans="1:25" ht="40" customHeight="1" outlineLevel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</row>
    <row r="181" spans="1:25" ht="40" customHeight="1" outlineLevel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</row>
    <row r="182" spans="1:25" ht="40" customHeight="1" outlineLevel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</row>
    <row r="183" spans="1:25" ht="40" customHeight="1" outlineLevel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</row>
    <row r="184" spans="1:25" ht="40" customHeight="1" outlineLevel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 t="str">
        <f t="shared" si="29"/>
        <v/>
      </c>
      <c r="Q184" s="81" t="str">
        <f t="shared" si="30"/>
        <v/>
      </c>
      <c r="R184" s="81" t="str">
        <f>IF(P184="","",TEXT(H184,"yyyymm")&amp;"_"&amp;P184&amp;"_"&amp;(COUNTIFS($H$64:$H$500,H184,$P$64:$P$500,P184,$A$64:$A$500,"&gt;"&amp;A184)+COUNTIFS($H$64:H184,H184,$P$64:P184,P184,$A$64:A184,A184)))</f>
        <v/>
      </c>
      <c r="S184" s="81" t="str">
        <f t="shared" si="31"/>
        <v/>
      </c>
      <c r="T184" s="81" t="str">
        <f t="shared" si="32"/>
        <v/>
      </c>
      <c r="U184" s="81" t="str">
        <f t="shared" si="33"/>
        <v/>
      </c>
      <c r="V184" s="81"/>
      <c r="Y184">
        <f t="shared" si="34"/>
        <v>54948</v>
      </c>
    </row>
    <row r="185" spans="1:25" ht="40" customHeight="1" outlineLevel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 t="str">
        <f t="shared" si="29"/>
        <v/>
      </c>
      <c r="Q185" s="81" t="str">
        <f t="shared" si="30"/>
        <v/>
      </c>
      <c r="R185" s="81" t="str">
        <f>IF(P185="","",TEXT(H185,"yyyymm")&amp;"_"&amp;P185&amp;"_"&amp;(COUNTIFS($H$64:$H$500,H185,$P$64:$P$500,P185,$A$64:$A$500,"&gt;"&amp;A185)+COUNTIFS($H$64:H185,H185,$P$64:P185,P185,$A$64:A185,A185)))</f>
        <v/>
      </c>
      <c r="S185" s="81" t="str">
        <f t="shared" si="31"/>
        <v/>
      </c>
      <c r="T185" s="81" t="str">
        <f t="shared" si="32"/>
        <v/>
      </c>
      <c r="U185" s="81" t="str">
        <f t="shared" si="33"/>
        <v/>
      </c>
      <c r="V185" s="81"/>
      <c r="Y185">
        <f t="shared" si="34"/>
        <v>585198</v>
      </c>
    </row>
    <row r="186" spans="1:25" ht="40" customHeight="1" outlineLevel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</row>
    <row r="187" spans="1:25" ht="40" customHeight="1" outlineLevel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</row>
    <row r="188" spans="1:25" ht="40" customHeight="1" outlineLevel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</row>
    <row r="189" spans="1:25" ht="40" customHeight="1" outlineLevel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</row>
    <row r="190" spans="1:25" ht="40" customHeight="1" outlineLevel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</row>
    <row r="191" spans="1:25" ht="40" customHeight="1" outlineLevel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</row>
    <row r="192" spans="1:25" ht="40" customHeight="1" outlineLevel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</row>
    <row r="193" spans="1:25" ht="40" customHeight="1" outlineLevel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</row>
    <row r="194" spans="1:25" ht="40" customHeight="1" outlineLevel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</row>
    <row r="195" spans="1:25" ht="40" customHeight="1" outlineLevel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</row>
    <row r="196" spans="1:25" ht="40" customHeight="1" outlineLevel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</row>
    <row r="197" spans="1:25" ht="40" customHeight="1" outlineLevel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</row>
    <row r="198" spans="1:25" ht="40" customHeight="1" outlineLevel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</row>
    <row r="199" spans="1:25" ht="40" customHeight="1" outlineLevel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</row>
    <row r="200" spans="1:25" ht="40" customHeight="1" outlineLevel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</row>
    <row r="201" spans="1:25" ht="40" customHeight="1" outlineLevel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</row>
    <row r="202" spans="1:25" ht="40" customHeight="1" outlineLevel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</row>
    <row r="203" spans="1:25" ht="40" customHeight="1" outlineLevel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</row>
    <row r="204" spans="1:25" ht="40" customHeight="1" outlineLevel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</row>
    <row r="205" spans="1:25" ht="40" customHeight="1" outlineLevel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</row>
    <row r="206" spans="1:25" ht="40" customHeight="1" outlineLevel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</row>
    <row r="207" spans="1:25" ht="40" customHeight="1" outlineLevel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</row>
    <row r="208" spans="1:25" ht="40" customHeight="1" outlineLevel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s">
        <v>61</v>
      </c>
      <c r="H208" s="87">
        <f t="shared" si="35"/>
        <v>46235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</row>
    <row r="209" spans="1:25" ht="40" customHeight="1" outlineLevel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</row>
    <row r="210" spans="1:25" ht="40" customHeight="1" outlineLevel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</row>
    <row r="211" spans="1:25" ht="40" customHeight="1" outlineLevel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</row>
    <row r="212" spans="1:25" ht="40" customHeight="1" outlineLevel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</row>
    <row r="213" spans="1:25" ht="40" customHeight="1" outlineLevel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 t="str">
        <f t="shared" si="37"/>
        <v/>
      </c>
      <c r="Q213" s="81" t="str">
        <f t="shared" si="38"/>
        <v/>
      </c>
      <c r="R213" s="81" t="str">
        <f>IF(P213="","",TEXT(H213,"yyyymm")&amp;"_"&amp;P213&amp;"_"&amp;(COUNTIFS($H$64:$H$500,H213,$P$64:$P$500,P213,$A$64:$A$500,"&gt;"&amp;A213)+COUNTIFS($H$64:H213,H213,$P$64:P213,P213,$A$64:A213,A213)))</f>
        <v/>
      </c>
      <c r="S213" s="81" t="str">
        <f t="shared" si="39"/>
        <v/>
      </c>
      <c r="T213" s="81" t="str">
        <f t="shared" si="40"/>
        <v/>
      </c>
      <c r="U213" s="81" t="str">
        <f t="shared" si="41"/>
        <v/>
      </c>
      <c r="V213" s="81"/>
      <c r="Y213">
        <f t="shared" si="42"/>
        <v>34489</v>
      </c>
    </row>
    <row r="214" spans="1:25" ht="40" customHeight="1" outlineLevel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</row>
    <row r="215" spans="1:25" ht="40" customHeight="1" outlineLevel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</row>
    <row r="216" spans="1:25" ht="40" customHeight="1" outlineLevel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</row>
    <row r="217" spans="1:25" ht="40" customHeight="1" outlineLevel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</row>
    <row r="218" spans="1:25" ht="40" customHeight="1" outlineLevel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</row>
    <row r="219" spans="1:25" ht="40" customHeight="1" outlineLevel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 t="str">
        <f t="shared" si="37"/>
        <v/>
      </c>
      <c r="Q219" s="81" t="str">
        <f t="shared" si="38"/>
        <v/>
      </c>
      <c r="R219" s="81" t="str">
        <f>IF(P219="","",TEXT(H219,"yyyymm")&amp;"_"&amp;P219&amp;"_"&amp;(COUNTIFS($H$64:$H$500,H219,$P$64:$P$500,P219,$A$64:$A$500,"&gt;"&amp;A219)+COUNTIFS($H$64:H219,H219,$P$64:P219,P219,$A$64:A219,A219)))</f>
        <v/>
      </c>
      <c r="S219" s="81" t="str">
        <f t="shared" si="39"/>
        <v/>
      </c>
      <c r="T219" s="81" t="str">
        <f t="shared" si="40"/>
        <v/>
      </c>
      <c r="U219" s="81" t="str">
        <f t="shared" si="41"/>
        <v/>
      </c>
      <c r="V219" s="81"/>
      <c r="Y219">
        <f t="shared" si="42"/>
        <v>4812666</v>
      </c>
    </row>
    <row r="220" spans="1:25" ht="40" customHeight="1" outlineLevel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</row>
    <row r="221" spans="1:25" ht="40" customHeight="1" outlineLevel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</row>
    <row r="222" spans="1:25" ht="40" customHeight="1" outlineLevel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</row>
    <row r="223" spans="1:25" ht="40" customHeight="1" outlineLevel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</row>
    <row r="224" spans="1:25" ht="40" customHeight="1" outlineLevel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 t="str">
        <f t="shared" si="37"/>
        <v/>
      </c>
      <c r="Q224" s="81" t="str">
        <f t="shared" si="38"/>
        <v/>
      </c>
      <c r="R224" s="81" t="str">
        <f>IF(P224="","",TEXT(H224,"yyyymm")&amp;"_"&amp;P224&amp;"_"&amp;(COUNTIFS($H$64:$H$500,H224,$P$64:$P$500,P224,$A$64:$A$500,"&gt;"&amp;A224)+COUNTIFS($H$64:H224,H224,$P$64:P224,P224,$A$64:A224,A224)))</f>
        <v/>
      </c>
      <c r="S224" s="81" t="str">
        <f t="shared" si="39"/>
        <v/>
      </c>
      <c r="T224" s="81" t="str">
        <f t="shared" si="40"/>
        <v/>
      </c>
      <c r="U224" s="81" t="str">
        <f t="shared" si="41"/>
        <v/>
      </c>
      <c r="V224" s="81"/>
      <c r="Y224">
        <f t="shared" si="42"/>
        <v>100000</v>
      </c>
    </row>
    <row r="225" spans="1:25" ht="40" customHeight="1" outlineLevel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</row>
    <row r="226" spans="1:25" ht="40" customHeight="1" outlineLevel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</row>
    <row r="227" spans="1:25" ht="40" customHeight="1" outlineLevel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</row>
    <row r="228" spans="1:25" ht="40" customHeight="1" outlineLevel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</row>
    <row r="229" spans="1:25" ht="40" customHeight="1" outlineLevel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</row>
    <row r="230" spans="1:25" ht="40" customHeight="1" outlineLevel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202610_이체_1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46308.851395949067</v>
      </c>
      <c r="V231" s="81"/>
      <c r="W231">
        <v>2453</v>
      </c>
      <c r="Y231">
        <f t="shared" si="42"/>
        <v>22210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202610_이체_2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46308.850696064823</v>
      </c>
      <c r="V232" s="81"/>
      <c r="W232">
        <v>2452</v>
      </c>
      <c r="Y232">
        <f t="shared" si="42"/>
        <v>236270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202610_이체_3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202610_이체_4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46308.848613587958</v>
      </c>
      <c r="V234" s="81"/>
      <c r="W234">
        <v>2450</v>
      </c>
      <c r="Y234">
        <f t="shared" si="42"/>
        <v>360550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202610_이체_5</v>
      </c>
      <c r="S235" t="str">
        <f t="shared" si="39"/>
        <v>외부</v>
      </c>
      <c r="T235">
        <f t="shared" si="40"/>
        <v>798746</v>
      </c>
      <c r="U235">
        <f t="shared" si="41"/>
        <v>46308.847924930553</v>
      </c>
      <c r="W235">
        <v>2449</v>
      </c>
      <c r="Y235">
        <f t="shared" si="42"/>
        <v>798746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202610_이체_6</v>
      </c>
      <c r="S236" t="str">
        <f t="shared" si="39"/>
        <v>생활비</v>
      </c>
      <c r="T236">
        <f t="shared" si="40"/>
        <v>604300</v>
      </c>
      <c r="U236">
        <f t="shared" si="41"/>
        <v>46308.845837777779</v>
      </c>
      <c r="W236">
        <v>2448</v>
      </c>
      <c r="Y236">
        <f t="shared" si="42"/>
        <v>604300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202610_이체_7</v>
      </c>
      <c r="S237" t="str">
        <f t="shared" si="39"/>
        <v>외부</v>
      </c>
      <c r="T237">
        <f t="shared" si="40"/>
        <v>753905</v>
      </c>
      <c r="U237">
        <f t="shared" si="41"/>
        <v>46308.749010173611</v>
      </c>
      <c r="W237">
        <v>2446</v>
      </c>
      <c r="Y237">
        <f t="shared" si="42"/>
        <v>753905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202610_내역_1</v>
      </c>
      <c r="S238" t="str">
        <f t="shared" si="39"/>
        <v>생활비</v>
      </c>
      <c r="T238">
        <f t="shared" si="40"/>
        <v>8557</v>
      </c>
      <c r="U238">
        <f t="shared" si="41"/>
        <v>46307.843067106478</v>
      </c>
      <c r="W238">
        <v>2442</v>
      </c>
      <c r="Y238">
        <f t="shared" si="42"/>
        <v>8557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202610_이체_8</v>
      </c>
      <c r="S239" t="str">
        <f t="shared" si="39"/>
        <v>외부</v>
      </c>
      <c r="T239">
        <f t="shared" si="40"/>
        <v>1390</v>
      </c>
      <c r="U239">
        <f t="shared" si="41"/>
        <v>46307.825001041667</v>
      </c>
      <c r="W239">
        <v>2430</v>
      </c>
      <c r="Y239">
        <f t="shared" si="42"/>
        <v>1390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202610_이체_9</v>
      </c>
      <c r="S240" t="str">
        <f t="shared" si="39"/>
        <v>외부</v>
      </c>
      <c r="T240">
        <f t="shared" si="40"/>
        <v>90410</v>
      </c>
      <c r="U240">
        <f t="shared" si="41"/>
        <v>46307.824310555552</v>
      </c>
      <c r="W240">
        <v>2429</v>
      </c>
      <c r="Y240">
        <f t="shared" si="42"/>
        <v>90410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202610_이체_10</v>
      </c>
      <c r="S241" t="str">
        <f t="shared" si="39"/>
        <v>외부</v>
      </c>
      <c r="T241">
        <f t="shared" si="40"/>
        <v>50000</v>
      </c>
      <c r="U241">
        <f t="shared" si="41"/>
        <v>46299.620147118047</v>
      </c>
      <c r="W241">
        <v>2347</v>
      </c>
      <c r="Y241">
        <f t="shared" si="42"/>
        <v>50000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202610_내역_2</v>
      </c>
      <c r="S242" t="str">
        <f t="shared" si="39"/>
        <v>지출</v>
      </c>
      <c r="T242">
        <f t="shared" si="40"/>
        <v>-11900</v>
      </c>
      <c r="U242">
        <f t="shared" si="41"/>
        <v>46297.622223078703</v>
      </c>
      <c r="W242">
        <v>2334</v>
      </c>
      <c r="Y242">
        <f t="shared" si="42"/>
        <v>11900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</v>
      </c>
      <c r="Y244">
        <f t="shared" si="42"/>
        <v>21500</v>
      </c>
    </row>
    <row r="245" spans="1:25" ht="80" hidden="1" customHeight="1" outlineLevel="1">
      <c r="A245" s="314"/>
      <c r="B245" s="318"/>
      <c r="C245" s="318"/>
      <c r="D245" s="318"/>
      <c r="E245" s="316"/>
      <c r="F245" s="318"/>
      <c r="G245" s="318"/>
      <c r="H245" s="317" t="str">
        <f t="shared" si="35"/>
        <v/>
      </c>
      <c r="I245" s="318" t="str">
        <f t="shared" si="36"/>
        <v/>
      </c>
      <c r="J245" s="318"/>
      <c r="K245" s="318"/>
      <c r="L245" s="320"/>
      <c r="P245" t="str">
        <f t="shared" si="37"/>
        <v/>
      </c>
      <c r="Q245" t="str">
        <f t="shared" si="38"/>
        <v/>
      </c>
      <c r="R245" t="str">
        <f>IF(P245="","",TEXT(H245,"yyyymm")&amp;"_"&amp;P245&amp;"_"&amp;(COUNTIFS($H$64:$H$500,H245,$P$64:$P$500,P245,$A$64:$A$500,"&gt;"&amp;A245)+COUNTIFS($H$64:H245,H245,$P$64:P245,P245,$A$64:A245,A245)))</f>
        <v/>
      </c>
      <c r="S245" t="str">
        <f t="shared" si="39"/>
        <v/>
      </c>
      <c r="T245" t="str">
        <f t="shared" si="40"/>
        <v/>
      </c>
      <c r="U245" t="str">
        <f t="shared" si="41"/>
        <v/>
      </c>
      <c r="Y245" t="str">
        <f t="shared" si="42"/>
        <v/>
      </c>
    </row>
    <row r="246" spans="1:25" ht="80" hidden="1" customHeight="1" outlineLevel="1">
      <c r="A246" s="314"/>
      <c r="B246" s="318"/>
      <c r="C246" s="318"/>
      <c r="D246" s="318"/>
      <c r="E246" s="316"/>
      <c r="F246" s="318"/>
      <c r="G246" s="318"/>
      <c r="H246" s="317" t="str">
        <f t="shared" si="35"/>
        <v/>
      </c>
      <c r="I246" s="318" t="str">
        <f t="shared" si="36"/>
        <v/>
      </c>
      <c r="J246" s="318"/>
      <c r="K246" s="318"/>
      <c r="L246" s="320"/>
      <c r="P246" t="str">
        <f t="shared" si="37"/>
        <v/>
      </c>
      <c r="Q246" t="str">
        <f t="shared" si="38"/>
        <v/>
      </c>
      <c r="R246" t="str">
        <f>IF(P246="","",TEXT(H246,"yyyymm")&amp;"_"&amp;P246&amp;"_"&amp;(COUNTIFS($H$64:$H$500,H246,$P$64:$P$500,P246,$A$64:$A$500,"&gt;"&amp;A246)+COUNTIFS($H$64:H246,H246,$P$64:P246,P246,$A$64:A246,A246)))</f>
        <v/>
      </c>
      <c r="S246" t="str">
        <f t="shared" si="39"/>
        <v/>
      </c>
      <c r="T246" t="str">
        <f t="shared" si="40"/>
        <v/>
      </c>
      <c r="U246" t="str">
        <f t="shared" si="41"/>
        <v/>
      </c>
      <c r="Y246" t="str">
        <f t="shared" si="42"/>
        <v/>
      </c>
    </row>
    <row r="247" spans="1:25" ht="68" hidden="1" customHeight="1" outlineLevel="1">
      <c r="A247" s="314"/>
      <c r="B247" s="318"/>
      <c r="C247" s="318"/>
      <c r="D247" s="318"/>
      <c r="E247" s="316"/>
      <c r="F247" s="318"/>
      <c r="G247" s="318"/>
      <c r="H247" s="317" t="str">
        <f t="shared" si="35"/>
        <v/>
      </c>
      <c r="I247" s="318" t="str">
        <f t="shared" si="36"/>
        <v/>
      </c>
      <c r="J247" s="318"/>
      <c r="K247" s="318"/>
      <c r="L247" s="320"/>
      <c r="P247" t="str">
        <f t="shared" si="37"/>
        <v/>
      </c>
      <c r="Q247" t="str">
        <f t="shared" si="38"/>
        <v/>
      </c>
      <c r="R247" t="str">
        <f>IF(P247="","",TEXT(H247,"yyyymm")&amp;"_"&amp;P247&amp;"_"&amp;(COUNTIFS($H$64:$H$500,H247,$P$64:$P$500,P247,$A$64:$A$500,"&gt;"&amp;A247)+COUNTIFS($H$64:H247,H247,$P$64:P247,P247,$A$64:A247,A247)))</f>
        <v/>
      </c>
      <c r="S247" t="str">
        <f t="shared" si="39"/>
        <v/>
      </c>
      <c r="T247" t="str">
        <f t="shared" si="40"/>
        <v/>
      </c>
      <c r="U247" t="str">
        <f t="shared" si="41"/>
        <v/>
      </c>
      <c r="Y247" t="str">
        <f t="shared" si="42"/>
        <v/>
      </c>
    </row>
    <row r="248" spans="1:25" ht="68" hidden="1" customHeight="1" outlineLevel="1">
      <c r="A248" s="314"/>
      <c r="B248" s="315"/>
      <c r="C248" s="315"/>
      <c r="D248" s="315"/>
      <c r="E248" s="316"/>
      <c r="F248" s="315"/>
      <c r="G248" s="315"/>
      <c r="H248" s="317" t="str">
        <f t="shared" si="35"/>
        <v/>
      </c>
      <c r="I248" s="318" t="str">
        <f t="shared" si="36"/>
        <v/>
      </c>
      <c r="J248" s="315"/>
      <c r="K248" s="315"/>
      <c r="L248" s="319"/>
      <c r="P248" t="str">
        <f t="shared" si="37"/>
        <v/>
      </c>
      <c r="Q248" t="str">
        <f t="shared" si="38"/>
        <v/>
      </c>
      <c r="R248" t="str">
        <f>IF(P248="","",TEXT(H248,"yyyymm")&amp;"_"&amp;P248&amp;"_"&amp;(COUNTIFS($H$64:$H$500,H248,$P$64:$P$500,P248,$A$64:$A$500,"&gt;"&amp;A248)+COUNTIFS($H$64:H248,H248,$P$64:P248,P248,$A$64:A248,A248)))</f>
        <v/>
      </c>
      <c r="S248" t="str">
        <f t="shared" si="39"/>
        <v/>
      </c>
      <c r="T248" t="str">
        <f t="shared" si="40"/>
        <v/>
      </c>
      <c r="U248" t="str">
        <f t="shared" si="41"/>
        <v/>
      </c>
      <c r="Y248" t="str">
        <f t="shared" si="42"/>
        <v/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 t="str">
        <f t="shared" si="35"/>
        <v/>
      </c>
      <c r="I249" s="318" t="str">
        <f t="shared" si="36"/>
        <v/>
      </c>
      <c r="J249" s="318"/>
      <c r="K249" s="318"/>
      <c r="L249" s="320"/>
      <c r="P249" t="str">
        <f t="shared" si="37"/>
        <v/>
      </c>
      <c r="Q249" t="str">
        <f t="shared" si="38"/>
        <v/>
      </c>
      <c r="R249" t="str">
        <f>IF(P249="","",TEXT(H249,"yyyymm")&amp;"_"&amp;P249&amp;"_"&amp;(COUNTIFS($H$64:$H$500,H249,$P$64:$P$500,P249,$A$64:$A$500,"&gt;"&amp;A249)+COUNTIFS($H$64:H249,H249,$P$64:P249,P249,$A$64:A249,A249)))</f>
        <v/>
      </c>
      <c r="S249" t="str">
        <f t="shared" si="39"/>
        <v/>
      </c>
      <c r="T249" t="str">
        <f t="shared" si="40"/>
        <v/>
      </c>
      <c r="U249" t="str">
        <f t="shared" si="41"/>
        <v/>
      </c>
      <c r="Y249" t="str">
        <f t="shared" si="42"/>
        <v/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 t="str">
        <f t="shared" si="35"/>
        <v/>
      </c>
      <c r="I250" s="318" t="str">
        <f t="shared" si="36"/>
        <v/>
      </c>
      <c r="J250" s="318"/>
      <c r="K250" s="318"/>
      <c r="L250" s="320"/>
      <c r="P250" t="str">
        <f t="shared" si="37"/>
        <v/>
      </c>
      <c r="Q250" t="str">
        <f t="shared" si="38"/>
        <v/>
      </c>
      <c r="R250" t="str">
        <f>IF(P250="","",TEXT(H250,"yyyymm")&amp;"_"&amp;P250&amp;"_"&amp;(COUNTIFS($H$64:$H$500,H250,$P$64:$P$500,P250,$A$64:$A$500,"&gt;"&amp;A250)+COUNTIFS($H$64:H250,H250,$P$64:P250,P250,$A$64:A250,A250)))</f>
        <v/>
      </c>
      <c r="S250" t="str">
        <f t="shared" si="39"/>
        <v/>
      </c>
      <c r="T250" t="str">
        <f t="shared" si="40"/>
        <v/>
      </c>
      <c r="U250" t="str">
        <f t="shared" si="41"/>
        <v/>
      </c>
      <c r="Y250" t="str">
        <f t="shared" si="42"/>
        <v/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 t="str">
        <f t="shared" si="35"/>
        <v/>
      </c>
      <c r="I251" s="318" t="str">
        <f t="shared" si="36"/>
        <v/>
      </c>
      <c r="J251" s="315"/>
      <c r="K251" s="315"/>
      <c r="L251" s="319"/>
      <c r="P251" t="str">
        <f t="shared" si="37"/>
        <v/>
      </c>
      <c r="Q251" t="str">
        <f t="shared" si="38"/>
        <v/>
      </c>
      <c r="R251" t="str">
        <f>IF(P251="","",TEXT(H251,"yyyymm")&amp;"_"&amp;P251&amp;"_"&amp;(COUNTIFS($H$64:$H$500,H251,$P$64:$P$500,P251,$A$64:$A$500,"&gt;"&amp;A251)+COUNTIFS($H$64:H251,H251,$P$64:P251,P251,$A$64:A251,A251)))</f>
        <v/>
      </c>
      <c r="S251" t="str">
        <f t="shared" si="39"/>
        <v/>
      </c>
      <c r="T251" t="str">
        <f t="shared" si="40"/>
        <v/>
      </c>
      <c r="U251" t="str">
        <f t="shared" si="41"/>
        <v/>
      </c>
      <c r="Y251" t="str">
        <f t="shared" si="42"/>
        <v/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 t="str">
        <f t="shared" si="35"/>
        <v/>
      </c>
      <c r="I252" s="318" t="str">
        <f t="shared" si="36"/>
        <v/>
      </c>
      <c r="J252" s="318"/>
      <c r="K252" s="318"/>
      <c r="L252" s="320"/>
      <c r="P252" t="str">
        <f t="shared" si="37"/>
        <v/>
      </c>
      <c r="Q252" t="str">
        <f t="shared" si="38"/>
        <v/>
      </c>
      <c r="R252" t="str">
        <f>IF(P252="","",TEXT(H252,"yyyymm")&amp;"_"&amp;P252&amp;"_"&amp;(COUNTIFS($H$64:$H$500,H252,$P$64:$P$500,P252,$A$64:$A$500,"&gt;"&amp;A252)+COUNTIFS($H$64:H252,H252,$P$64:P252,P252,$A$64:A252,A252)))</f>
        <v/>
      </c>
      <c r="S252" t="str">
        <f t="shared" si="39"/>
        <v/>
      </c>
      <c r="T252" t="str">
        <f t="shared" si="40"/>
        <v/>
      </c>
      <c r="U252" t="str">
        <f t="shared" si="41"/>
        <v/>
      </c>
      <c r="Y252" t="str">
        <f t="shared" si="42"/>
        <v/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 t="str">
        <f t="shared" si="35"/>
        <v/>
      </c>
      <c r="I253" s="318" t="str">
        <f t="shared" si="36"/>
        <v/>
      </c>
      <c r="J253" s="318"/>
      <c r="K253" s="318"/>
      <c r="L253" s="320"/>
      <c r="P253" t="str">
        <f t="shared" si="37"/>
        <v/>
      </c>
      <c r="Q253" t="str">
        <f t="shared" si="38"/>
        <v/>
      </c>
      <c r="R253" t="str">
        <f>IF(P253="","",TEXT(H253,"yyyymm")&amp;"_"&amp;P253&amp;"_"&amp;(COUNTIFS($H$64:$H$500,H253,$P$64:$P$500,P253,$A$64:$A$500,"&gt;"&amp;A253)+COUNTIFS($H$64:H253,H253,$P$64:P253,P253,$A$64:A253,A253)))</f>
        <v/>
      </c>
      <c r="S253" t="str">
        <f t="shared" si="39"/>
        <v/>
      </c>
      <c r="T253" t="str">
        <f t="shared" si="40"/>
        <v/>
      </c>
      <c r="U253" t="str">
        <f t="shared" si="41"/>
        <v/>
      </c>
      <c r="Y253" t="str">
        <f t="shared" si="42"/>
        <v/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 t="str">
        <f t="shared" si="35"/>
        <v/>
      </c>
      <c r="I254" s="318" t="str">
        <f t="shared" si="36"/>
        <v/>
      </c>
      <c r="J254" s="318"/>
      <c r="K254" s="318"/>
      <c r="L254" s="320"/>
      <c r="P254" t="str">
        <f t="shared" si="37"/>
        <v/>
      </c>
      <c r="Q254" t="str">
        <f t="shared" si="38"/>
        <v/>
      </c>
      <c r="R254" t="str">
        <f>IF(P254="","",TEXT(H254,"yyyymm")&amp;"_"&amp;P254&amp;"_"&amp;(COUNTIFS($H$64:$H$500,H254,$P$64:$P$500,P254,$A$64:$A$500,"&gt;"&amp;A254)+COUNTIFS($H$64:H254,H254,$P$64:P254,P254,$A$64:A254,A254)))</f>
        <v/>
      </c>
      <c r="S254" t="str">
        <f t="shared" si="39"/>
        <v/>
      </c>
      <c r="T254" t="str">
        <f t="shared" si="40"/>
        <v/>
      </c>
      <c r="U254" t="str">
        <f t="shared" si="41"/>
        <v/>
      </c>
      <c r="Y254" t="str">
        <f t="shared" si="42"/>
        <v/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 t="str">
        <f t="shared" si="35"/>
        <v/>
      </c>
      <c r="I255" s="318" t="str">
        <f t="shared" si="36"/>
        <v/>
      </c>
      <c r="J255" s="315"/>
      <c r="K255" s="315"/>
      <c r="L255" s="319"/>
      <c r="P255" t="str">
        <f t="shared" si="37"/>
        <v/>
      </c>
      <c r="Q255" t="str">
        <f t="shared" si="38"/>
        <v/>
      </c>
      <c r="R255" t="str">
        <f>IF(P255="","",TEXT(H255,"yyyymm")&amp;"_"&amp;P255&amp;"_"&amp;(COUNTIFS($H$64:$H$500,H255,$P$64:$P$500,P255,$A$64:$A$500,"&gt;"&amp;A255)+COUNTIFS($H$64:H255,H255,$P$64:P255,P255,$A$64:A255,A255)))</f>
        <v/>
      </c>
      <c r="S255" t="str">
        <f t="shared" si="39"/>
        <v/>
      </c>
      <c r="T255" t="str">
        <f t="shared" si="40"/>
        <v/>
      </c>
      <c r="U255" t="str">
        <f t="shared" si="41"/>
        <v/>
      </c>
      <c r="Y255" t="str">
        <f t="shared" si="42"/>
        <v/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 t="str">
        <f t="shared" ref="H256:H319" si="43">IF(A256="","",DATE(YEAR(A256),MONTH(A256),1))</f>
        <v/>
      </c>
      <c r="I256" s="318" t="str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  <v/>
      </c>
      <c r="J256" s="315"/>
      <c r="K256" s="315"/>
      <c r="L256" s="319"/>
      <c r="P256" t="str">
        <f t="shared" ref="P256:P319" si="45">IF(Q256="","",IF(Q256="이체","이체","내역"))</f>
        <v/>
      </c>
      <c r="Q256" t="str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  <v/>
      </c>
      <c r="R256" t="str">
        <f>IF(P256="","",TEXT(H256,"yyyymm")&amp;"_"&amp;P256&amp;"_"&amp;(COUNTIFS($H$64:$H$500,H256,$P$64:$P$500,P256,$A$64:$A$500,"&gt;"&amp;A256)+COUNTIFS($H$64:H256,H256,$P$64:P256,P256,$A$64:A256,A256)))</f>
        <v/>
      </c>
      <c r="S256" t="str">
        <f t="shared" ref="S256:S319" si="47">IF(Q256="","",D256)</f>
        <v/>
      </c>
      <c r="T256" t="str">
        <f t="shared" ref="T256:T319" si="48">IF(Q256="","",IF(Q256="이체",E256,IF(D256=Q256,E256,-E256)))</f>
        <v/>
      </c>
      <c r="U256" t="str">
        <f t="shared" ref="U256:U319" si="49">IF(Q256="","",IF(ISNUMBER(SEARCH("날짜 미기록",G256)),"날짜 미기록",A256))</f>
        <v/>
      </c>
      <c r="Y256" t="str">
        <f t="shared" ref="Y256:Y319" si="50">IF(A256="","",IF(I256="OK",E256,0))</f>
        <v/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 t="str">
        <f t="shared" si="43"/>
        <v/>
      </c>
      <c r="I257" s="318" t="str">
        <f t="shared" si="44"/>
        <v/>
      </c>
      <c r="J257" s="315"/>
      <c r="K257" s="315"/>
      <c r="L257" s="319"/>
      <c r="P257" t="str">
        <f t="shared" si="45"/>
        <v/>
      </c>
      <c r="Q257" t="str">
        <f t="shared" si="46"/>
        <v/>
      </c>
      <c r="R257" t="str">
        <f>IF(P257="","",TEXT(H257,"yyyymm")&amp;"_"&amp;P257&amp;"_"&amp;(COUNTIFS($H$64:$H$500,H257,$P$64:$P$500,P257,$A$64:$A$500,"&gt;"&amp;A257)+COUNTIFS($H$64:H257,H257,$P$64:P257,P257,$A$64:A257,A257)))</f>
        <v/>
      </c>
      <c r="S257" t="str">
        <f t="shared" si="47"/>
        <v/>
      </c>
      <c r="T257" t="str">
        <f t="shared" si="48"/>
        <v/>
      </c>
      <c r="U257" t="str">
        <f t="shared" si="49"/>
        <v/>
      </c>
      <c r="Y257" t="str">
        <f t="shared" si="50"/>
        <v/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 t="str">
        <f t="shared" si="43"/>
        <v/>
      </c>
      <c r="I258" s="318" t="str">
        <f t="shared" si="44"/>
        <v/>
      </c>
      <c r="J258" s="318"/>
      <c r="K258" s="318"/>
      <c r="L258" s="320"/>
      <c r="P258" t="str">
        <f t="shared" si="45"/>
        <v/>
      </c>
      <c r="Q258" t="str">
        <f t="shared" si="46"/>
        <v/>
      </c>
      <c r="R258" t="str">
        <f>IF(P258="","",TEXT(H258,"yyyymm")&amp;"_"&amp;P258&amp;"_"&amp;(COUNTIFS($H$64:$H$500,H258,$P$64:$P$500,P258,$A$64:$A$500,"&gt;"&amp;A258)+COUNTIFS($H$64:H258,H258,$P$64:P258,P258,$A$64:A258,A258)))</f>
        <v/>
      </c>
      <c r="S258" t="str">
        <f t="shared" si="47"/>
        <v/>
      </c>
      <c r="T258" t="str">
        <f t="shared" si="48"/>
        <v/>
      </c>
      <c r="U258" t="str">
        <f t="shared" si="49"/>
        <v/>
      </c>
      <c r="Y258" t="str">
        <f t="shared" si="50"/>
        <v/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 t="str">
        <f t="shared" si="43"/>
        <v/>
      </c>
      <c r="I259" s="318" t="str">
        <f t="shared" si="44"/>
        <v/>
      </c>
      <c r="J259" s="318"/>
      <c r="K259" s="318"/>
      <c r="L259" s="320"/>
      <c r="P259" t="str">
        <f t="shared" si="45"/>
        <v/>
      </c>
      <c r="Q259" t="str">
        <f t="shared" si="46"/>
        <v/>
      </c>
      <c r="R259" t="str">
        <f>IF(P259="","",TEXT(H259,"yyyymm")&amp;"_"&amp;P259&amp;"_"&amp;(COUNTIFS($H$64:$H$500,H259,$P$64:$P$500,P259,$A$64:$A$500,"&gt;"&amp;A259)+COUNTIFS($H$64:H259,H259,$P$64:P259,P259,$A$64:A259,A259)))</f>
        <v/>
      </c>
      <c r="S259" t="str">
        <f t="shared" si="47"/>
        <v/>
      </c>
      <c r="T259" t="str">
        <f t="shared" si="48"/>
        <v/>
      </c>
      <c r="U259" t="str">
        <f t="shared" si="49"/>
        <v/>
      </c>
      <c r="Y259" t="str">
        <f t="shared" si="50"/>
        <v/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 t="str">
        <f t="shared" si="43"/>
        <v/>
      </c>
      <c r="I260" s="318" t="str">
        <f t="shared" si="44"/>
        <v/>
      </c>
      <c r="J260" s="318"/>
      <c r="K260" s="318"/>
      <c r="L260" s="320"/>
      <c r="P260" t="str">
        <f t="shared" si="45"/>
        <v/>
      </c>
      <c r="Q260" t="str">
        <f t="shared" si="46"/>
        <v/>
      </c>
      <c r="R260" t="str">
        <f>IF(P260="","",TEXT(H260,"yyyymm")&amp;"_"&amp;P260&amp;"_"&amp;(COUNTIFS($H$64:$H$500,H260,$P$64:$P$500,P260,$A$64:$A$500,"&gt;"&amp;A260)+COUNTIFS($H$64:H260,H260,$P$64:P260,P260,$A$64:A260,A260)))</f>
        <v/>
      </c>
      <c r="S260" t="str">
        <f t="shared" si="47"/>
        <v/>
      </c>
      <c r="T260" t="str">
        <f t="shared" si="48"/>
        <v/>
      </c>
      <c r="U260" t="str">
        <f t="shared" si="49"/>
        <v/>
      </c>
      <c r="Y260" t="str">
        <f t="shared" si="50"/>
        <v/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 t="str">
        <f t="shared" si="43"/>
        <v/>
      </c>
      <c r="I261" s="318" t="str">
        <f t="shared" si="44"/>
        <v/>
      </c>
      <c r="J261" s="318"/>
      <c r="K261" s="318"/>
      <c r="L261" s="320"/>
      <c r="P261" t="str">
        <f t="shared" si="45"/>
        <v/>
      </c>
      <c r="Q261" t="str">
        <f t="shared" si="46"/>
        <v/>
      </c>
      <c r="R261" t="str">
        <f>IF(P261="","",TEXT(H261,"yyyymm")&amp;"_"&amp;P261&amp;"_"&amp;(COUNTIFS($H$64:$H$500,H261,$P$64:$P$500,P261,$A$64:$A$500,"&gt;"&amp;A261)+COUNTIFS($H$64:H261,H261,$P$64:P261,P261,$A$64:A261,A261)))</f>
        <v/>
      </c>
      <c r="S261" t="str">
        <f t="shared" si="47"/>
        <v/>
      </c>
      <c r="T261" t="str">
        <f t="shared" si="48"/>
        <v/>
      </c>
      <c r="U261" t="str">
        <f t="shared" si="49"/>
        <v/>
      </c>
      <c r="Y261" t="str">
        <f t="shared" si="50"/>
        <v/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 t="str">
        <f t="shared" si="43"/>
        <v/>
      </c>
      <c r="I262" s="318" t="str">
        <f t="shared" si="44"/>
        <v/>
      </c>
      <c r="J262" s="318"/>
      <c r="K262" s="318"/>
      <c r="L262" s="320"/>
      <c r="P262" t="str">
        <f t="shared" si="45"/>
        <v/>
      </c>
      <c r="Q262" t="str">
        <f t="shared" si="46"/>
        <v/>
      </c>
      <c r="R262" t="str">
        <f>IF(P262="","",TEXT(H262,"yyyymm")&amp;"_"&amp;P262&amp;"_"&amp;(COUNTIFS($H$64:$H$500,H262,$P$64:$P$500,P262,$A$64:$A$500,"&gt;"&amp;A262)+COUNTIFS($H$64:H262,H262,$P$64:P262,P262,$A$64:A262,A262)))</f>
        <v/>
      </c>
      <c r="S262" t="str">
        <f t="shared" si="47"/>
        <v/>
      </c>
      <c r="T262" t="str">
        <f t="shared" si="48"/>
        <v/>
      </c>
      <c r="U262" t="str">
        <f t="shared" si="49"/>
        <v/>
      </c>
      <c r="Y262" t="str">
        <f t="shared" si="50"/>
        <v/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 t="str">
        <f t="shared" si="43"/>
        <v/>
      </c>
      <c r="I263" s="318" t="str">
        <f t="shared" si="44"/>
        <v/>
      </c>
      <c r="J263" s="318"/>
      <c r="K263" s="318"/>
      <c r="L263" s="320"/>
      <c r="P263" t="str">
        <f t="shared" si="45"/>
        <v/>
      </c>
      <c r="Q263" t="str">
        <f t="shared" si="46"/>
        <v/>
      </c>
      <c r="R263" t="str">
        <f>IF(P263="","",TEXT(H263,"yyyymm")&amp;"_"&amp;P263&amp;"_"&amp;(COUNTIFS($H$64:$H$500,H263,$P$64:$P$500,P263,$A$64:$A$500,"&gt;"&amp;A263)+COUNTIFS($H$64:H263,H263,$P$64:P263,P263,$A$64:A263,A263)))</f>
        <v/>
      </c>
      <c r="S263" t="str">
        <f t="shared" si="47"/>
        <v/>
      </c>
      <c r="T263" t="str">
        <f t="shared" si="48"/>
        <v/>
      </c>
      <c r="U263" t="str">
        <f t="shared" si="49"/>
        <v/>
      </c>
      <c r="Y263" t="str">
        <f t="shared" si="50"/>
        <v/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 t="str">
        <f t="shared" si="43"/>
        <v/>
      </c>
      <c r="I264" s="318" t="str">
        <f t="shared" si="44"/>
        <v/>
      </c>
      <c r="J264" s="315"/>
      <c r="K264" s="315"/>
      <c r="L264" s="319"/>
      <c r="P264" t="str">
        <f t="shared" si="45"/>
        <v/>
      </c>
      <c r="Q264" t="str">
        <f t="shared" si="46"/>
        <v/>
      </c>
      <c r="R264" t="str">
        <f>IF(P264="","",TEXT(H264,"yyyymm")&amp;"_"&amp;P264&amp;"_"&amp;(COUNTIFS($H$64:$H$500,H264,$P$64:$P$500,P264,$A$64:$A$500,"&gt;"&amp;A264)+COUNTIFS($H$64:H264,H264,$P$64:P264,P264,$A$64:A264,A264)))</f>
        <v/>
      </c>
      <c r="S264" t="str">
        <f t="shared" si="47"/>
        <v/>
      </c>
      <c r="T264" t="str">
        <f t="shared" si="48"/>
        <v/>
      </c>
      <c r="U264" t="str">
        <f t="shared" si="49"/>
        <v/>
      </c>
      <c r="Y264" t="str">
        <f t="shared" si="50"/>
        <v/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 t="str">
        <f t="shared" si="43"/>
        <v/>
      </c>
      <c r="I265" s="318" t="str">
        <f t="shared" si="44"/>
        <v/>
      </c>
      <c r="J265" s="315"/>
      <c r="K265" s="315"/>
      <c r="L265" s="319"/>
      <c r="P265" t="str">
        <f t="shared" si="45"/>
        <v/>
      </c>
      <c r="Q265" t="str">
        <f t="shared" si="46"/>
        <v/>
      </c>
      <c r="R265" t="str">
        <f>IF(P265="","",TEXT(H265,"yyyymm")&amp;"_"&amp;P265&amp;"_"&amp;(COUNTIFS($H$64:$H$500,H265,$P$64:$P$500,P265,$A$64:$A$500,"&gt;"&amp;A265)+COUNTIFS($H$64:H265,H265,$P$64:P265,P265,$A$64:A265,A265)))</f>
        <v/>
      </c>
      <c r="S265" t="str">
        <f t="shared" si="47"/>
        <v/>
      </c>
      <c r="T265" t="str">
        <f t="shared" si="48"/>
        <v/>
      </c>
      <c r="U265" t="str">
        <f t="shared" si="49"/>
        <v/>
      </c>
      <c r="Y265" t="str">
        <f t="shared" si="50"/>
        <v/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 t="str">
        <f t="shared" si="43"/>
        <v/>
      </c>
      <c r="I266" s="318" t="str">
        <f t="shared" si="44"/>
        <v/>
      </c>
      <c r="J266" s="318"/>
      <c r="K266" s="318"/>
      <c r="L266" s="320"/>
      <c r="P266" t="str">
        <f t="shared" si="45"/>
        <v/>
      </c>
      <c r="Q266" t="str">
        <f t="shared" si="46"/>
        <v/>
      </c>
      <c r="R266" t="str">
        <f>IF(P266="","",TEXT(H266,"yyyymm")&amp;"_"&amp;P266&amp;"_"&amp;(COUNTIFS($H$64:$H$500,H266,$P$64:$P$500,P266,$A$64:$A$500,"&gt;"&amp;A266)+COUNTIFS($H$64:H266,H266,$P$64:P266,P266,$A$64:A266,A266)))</f>
        <v/>
      </c>
      <c r="S266" t="str">
        <f t="shared" si="47"/>
        <v/>
      </c>
      <c r="T266" t="str">
        <f t="shared" si="48"/>
        <v/>
      </c>
      <c r="U266" t="str">
        <f t="shared" si="49"/>
        <v/>
      </c>
      <c r="Y266" t="str">
        <f t="shared" si="50"/>
        <v/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 t="str">
        <f t="shared" si="43"/>
        <v/>
      </c>
      <c r="I267" s="318" t="str">
        <f t="shared" si="44"/>
        <v/>
      </c>
      <c r="J267" s="318"/>
      <c r="K267" s="318"/>
      <c r="L267" s="320"/>
      <c r="P267" t="str">
        <f t="shared" si="45"/>
        <v/>
      </c>
      <c r="Q267" t="str">
        <f t="shared" si="46"/>
        <v/>
      </c>
      <c r="R267" t="str">
        <f>IF(P267="","",TEXT(H267,"yyyymm")&amp;"_"&amp;P267&amp;"_"&amp;(COUNTIFS($H$64:$H$500,H267,$P$64:$P$500,P267,$A$64:$A$500,"&gt;"&amp;A267)+COUNTIFS($H$64:H267,H267,$P$64:P267,P267,$A$64:A267,A267)))</f>
        <v/>
      </c>
      <c r="S267" t="str">
        <f t="shared" si="47"/>
        <v/>
      </c>
      <c r="T267" t="str">
        <f t="shared" si="48"/>
        <v/>
      </c>
      <c r="U267" t="str">
        <f t="shared" si="49"/>
        <v/>
      </c>
      <c r="Y267" t="str">
        <f t="shared" si="50"/>
        <v/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 t="str">
        <f t="shared" si="43"/>
        <v/>
      </c>
      <c r="I268" s="318" t="str">
        <f t="shared" si="44"/>
        <v/>
      </c>
      <c r="J268" s="315"/>
      <c r="K268" s="315"/>
      <c r="L268" s="319"/>
      <c r="P268" t="str">
        <f t="shared" si="45"/>
        <v/>
      </c>
      <c r="Q268" t="str">
        <f t="shared" si="46"/>
        <v/>
      </c>
      <c r="R268" t="str">
        <f>IF(P268="","",TEXT(H268,"yyyymm")&amp;"_"&amp;P268&amp;"_"&amp;(COUNTIFS($H$64:$H$500,H268,$P$64:$P$500,P268,$A$64:$A$500,"&gt;"&amp;A268)+COUNTIFS($H$64:H268,H268,$P$64:P268,P268,$A$64:A268,A268)))</f>
        <v/>
      </c>
      <c r="S268" t="str">
        <f t="shared" si="47"/>
        <v/>
      </c>
      <c r="T268" t="str">
        <f t="shared" si="48"/>
        <v/>
      </c>
      <c r="U268" t="str">
        <f t="shared" si="49"/>
        <v/>
      </c>
      <c r="Y268" t="str">
        <f t="shared" si="50"/>
        <v/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 t="str">
        <f t="shared" si="43"/>
        <v/>
      </c>
      <c r="I269" s="318" t="str">
        <f t="shared" si="44"/>
        <v/>
      </c>
      <c r="J269" s="315"/>
      <c r="K269" s="315"/>
      <c r="L269" s="319"/>
      <c r="P269" t="str">
        <f t="shared" si="45"/>
        <v/>
      </c>
      <c r="Q269" t="str">
        <f t="shared" si="46"/>
        <v/>
      </c>
      <c r="R269" t="str">
        <f>IF(P269="","",TEXT(H269,"yyyymm")&amp;"_"&amp;P269&amp;"_"&amp;(COUNTIFS($H$64:$H$500,H269,$P$64:$P$500,P269,$A$64:$A$500,"&gt;"&amp;A269)+COUNTIFS($H$64:H269,H269,$P$64:P269,P269,$A$64:A269,A269)))</f>
        <v/>
      </c>
      <c r="S269" t="str">
        <f t="shared" si="47"/>
        <v/>
      </c>
      <c r="T269" t="str">
        <f t="shared" si="48"/>
        <v/>
      </c>
      <c r="U269" t="str">
        <f t="shared" si="49"/>
        <v/>
      </c>
      <c r="Y269" t="str">
        <f t="shared" si="50"/>
        <v/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 t="str">
        <f t="shared" si="43"/>
        <v/>
      </c>
      <c r="I270" s="318" t="str">
        <f t="shared" si="44"/>
        <v/>
      </c>
      <c r="J270" s="315"/>
      <c r="K270" s="315"/>
      <c r="L270" s="319"/>
      <c r="P270" t="str">
        <f t="shared" si="45"/>
        <v/>
      </c>
      <c r="Q270" t="str">
        <f t="shared" si="46"/>
        <v/>
      </c>
      <c r="R270" t="str">
        <f>IF(P270="","",TEXT(H270,"yyyymm")&amp;"_"&amp;P270&amp;"_"&amp;(COUNTIFS($H$64:$H$500,H270,$P$64:$P$500,P270,$A$64:$A$500,"&gt;"&amp;A270)+COUNTIFS($H$64:H270,H270,$P$64:P270,P270,$A$64:A270,A270)))</f>
        <v/>
      </c>
      <c r="S270" t="str">
        <f t="shared" si="47"/>
        <v/>
      </c>
      <c r="T270" t="str">
        <f t="shared" si="48"/>
        <v/>
      </c>
      <c r="U270" t="str">
        <f t="shared" si="49"/>
        <v/>
      </c>
      <c r="Y270" t="str">
        <f t="shared" si="50"/>
        <v/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 t="str">
        <f t="shared" si="43"/>
        <v/>
      </c>
      <c r="I271" s="318" t="str">
        <f t="shared" si="44"/>
        <v/>
      </c>
      <c r="J271" s="315"/>
      <c r="K271" s="315"/>
      <c r="L271" s="319"/>
      <c r="P271" t="str">
        <f t="shared" si="45"/>
        <v/>
      </c>
      <c r="Q271" t="str">
        <f t="shared" si="46"/>
        <v/>
      </c>
      <c r="R271" t="str">
        <f>IF(P271="","",TEXT(H271,"yyyymm")&amp;"_"&amp;P271&amp;"_"&amp;(COUNTIFS($H$64:$H$500,H271,$P$64:$P$500,P271,$A$64:$A$500,"&gt;"&amp;A271)+COUNTIFS($H$64:H271,H271,$P$64:P271,P271,$A$64:A271,A271)))</f>
        <v/>
      </c>
      <c r="S271" t="str">
        <f t="shared" si="47"/>
        <v/>
      </c>
      <c r="T271" t="str">
        <f t="shared" si="48"/>
        <v/>
      </c>
      <c r="U271" t="str">
        <f t="shared" si="49"/>
        <v/>
      </c>
      <c r="Y271" t="str">
        <f t="shared" si="50"/>
        <v/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 t="str">
        <f t="shared" si="43"/>
        <v/>
      </c>
      <c r="I272" s="318" t="str">
        <f t="shared" si="44"/>
        <v/>
      </c>
      <c r="J272" s="315"/>
      <c r="K272" s="315"/>
      <c r="L272" s="319"/>
      <c r="P272" t="str">
        <f t="shared" si="45"/>
        <v/>
      </c>
      <c r="Q272" t="str">
        <f t="shared" si="46"/>
        <v/>
      </c>
      <c r="R272" t="str">
        <f>IF(P272="","",TEXT(H272,"yyyymm")&amp;"_"&amp;P272&amp;"_"&amp;(COUNTIFS($H$64:$H$500,H272,$P$64:$P$500,P272,$A$64:$A$500,"&gt;"&amp;A272)+COUNTIFS($H$64:H272,H272,$P$64:P272,P272,$A$64:A272,A272)))</f>
        <v/>
      </c>
      <c r="S272" t="str">
        <f t="shared" si="47"/>
        <v/>
      </c>
      <c r="T272" t="str">
        <f t="shared" si="48"/>
        <v/>
      </c>
      <c r="U272" t="str">
        <f t="shared" si="49"/>
        <v/>
      </c>
      <c r="Y272" t="str">
        <f t="shared" si="50"/>
        <v/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 t="str">
        <f t="shared" si="43"/>
        <v/>
      </c>
      <c r="I273" s="318" t="str">
        <f t="shared" si="44"/>
        <v/>
      </c>
      <c r="J273" s="315"/>
      <c r="K273" s="315"/>
      <c r="L273" s="319"/>
      <c r="P273" t="str">
        <f t="shared" si="45"/>
        <v/>
      </c>
      <c r="Q273" t="str">
        <f t="shared" si="46"/>
        <v/>
      </c>
      <c r="R273" t="str">
        <f>IF(P273="","",TEXT(H273,"yyyymm")&amp;"_"&amp;P273&amp;"_"&amp;(COUNTIFS($H$64:$H$500,H273,$P$64:$P$500,P273,$A$64:$A$500,"&gt;"&amp;A273)+COUNTIFS($H$64:H273,H273,$P$64:P273,P273,$A$64:A273,A273)))</f>
        <v/>
      </c>
      <c r="S273" t="str">
        <f t="shared" si="47"/>
        <v/>
      </c>
      <c r="T273" t="str">
        <f t="shared" si="48"/>
        <v/>
      </c>
      <c r="U273" t="str">
        <f t="shared" si="49"/>
        <v/>
      </c>
      <c r="Y273" t="str">
        <f t="shared" si="50"/>
        <v/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 t="str">
        <f t="shared" si="43"/>
        <v/>
      </c>
      <c r="I274" s="318" t="str">
        <f t="shared" si="44"/>
        <v/>
      </c>
      <c r="J274" s="315"/>
      <c r="K274" s="315"/>
      <c r="L274" s="319"/>
      <c r="P274" t="str">
        <f t="shared" si="45"/>
        <v/>
      </c>
      <c r="Q274" t="str">
        <f t="shared" si="46"/>
        <v/>
      </c>
      <c r="R274" t="str">
        <f>IF(P274="","",TEXT(H274,"yyyymm")&amp;"_"&amp;P274&amp;"_"&amp;(COUNTIFS($H$64:$H$500,H274,$P$64:$P$500,P274,$A$64:$A$500,"&gt;"&amp;A274)+COUNTIFS($H$64:H274,H274,$P$64:P274,P274,$A$64:A274,A274)))</f>
        <v/>
      </c>
      <c r="S274" t="str">
        <f t="shared" si="47"/>
        <v/>
      </c>
      <c r="T274" t="str">
        <f t="shared" si="48"/>
        <v/>
      </c>
      <c r="U274" t="str">
        <f t="shared" si="49"/>
        <v/>
      </c>
      <c r="Y274" t="str">
        <f t="shared" si="50"/>
        <v/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 t="str">
        <f t="shared" si="43"/>
        <v/>
      </c>
      <c r="I275" s="318" t="str">
        <f t="shared" si="44"/>
        <v/>
      </c>
      <c r="J275" s="315"/>
      <c r="K275" s="315"/>
      <c r="L275" s="319"/>
      <c r="P275" t="str">
        <f t="shared" si="45"/>
        <v/>
      </c>
      <c r="Q275" t="str">
        <f t="shared" si="46"/>
        <v/>
      </c>
      <c r="R275" t="str">
        <f>IF(P275="","",TEXT(H275,"yyyymm")&amp;"_"&amp;P275&amp;"_"&amp;(COUNTIFS($H$64:$H$500,H275,$P$64:$P$500,P275,$A$64:$A$500,"&gt;"&amp;A275)+COUNTIFS($H$64:H275,H275,$P$64:P275,P275,$A$64:A275,A275)))</f>
        <v/>
      </c>
      <c r="S275" t="str">
        <f t="shared" si="47"/>
        <v/>
      </c>
      <c r="T275" t="str">
        <f t="shared" si="48"/>
        <v/>
      </c>
      <c r="U275" t="str">
        <f t="shared" si="49"/>
        <v/>
      </c>
      <c r="Y275" t="str">
        <f t="shared" si="50"/>
        <v/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 t="str">
        <f t="shared" si="43"/>
        <v/>
      </c>
      <c r="I276" s="318" t="str">
        <f t="shared" si="44"/>
        <v/>
      </c>
      <c r="J276" s="318"/>
      <c r="K276" s="318"/>
      <c r="L276" s="320"/>
      <c r="P276" t="str">
        <f t="shared" si="45"/>
        <v/>
      </c>
      <c r="Q276" t="str">
        <f t="shared" si="46"/>
        <v/>
      </c>
      <c r="R276" t="str">
        <f>IF(P276="","",TEXT(H276,"yyyymm")&amp;"_"&amp;P276&amp;"_"&amp;(COUNTIFS($H$64:$H$500,H276,$P$64:$P$500,P276,$A$64:$A$500,"&gt;"&amp;A276)+COUNTIFS($H$64:H276,H276,$P$64:P276,P276,$A$64:A276,A276)))</f>
        <v/>
      </c>
      <c r="S276" t="str">
        <f t="shared" si="47"/>
        <v/>
      </c>
      <c r="T276" t="str">
        <f t="shared" si="48"/>
        <v/>
      </c>
      <c r="U276" t="str">
        <f t="shared" si="49"/>
        <v/>
      </c>
      <c r="Y276" t="str">
        <f t="shared" si="50"/>
        <v/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 t="str">
        <f t="shared" si="43"/>
        <v/>
      </c>
      <c r="I277" s="318" t="str">
        <f t="shared" si="44"/>
        <v/>
      </c>
      <c r="J277" s="318"/>
      <c r="K277" s="318"/>
      <c r="L277" s="320"/>
      <c r="P277" t="str">
        <f t="shared" si="45"/>
        <v/>
      </c>
      <c r="Q277" t="str">
        <f t="shared" si="46"/>
        <v/>
      </c>
      <c r="R277" t="str">
        <f>IF(P277="","",TEXT(H277,"yyyymm")&amp;"_"&amp;P277&amp;"_"&amp;(COUNTIFS($H$64:$H$500,H277,$P$64:$P$500,P277,$A$64:$A$500,"&gt;"&amp;A277)+COUNTIFS($H$64:H277,H277,$P$64:P277,P277,$A$64:A277,A277)))</f>
        <v/>
      </c>
      <c r="S277" t="str">
        <f t="shared" si="47"/>
        <v/>
      </c>
      <c r="T277" t="str">
        <f t="shared" si="48"/>
        <v/>
      </c>
      <c r="U277" t="str">
        <f t="shared" si="49"/>
        <v/>
      </c>
      <c r="Y277" t="str">
        <f t="shared" si="50"/>
        <v/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 t="str">
        <f t="shared" si="43"/>
        <v/>
      </c>
      <c r="I278" s="318" t="str">
        <f t="shared" si="44"/>
        <v/>
      </c>
      <c r="J278" s="318"/>
      <c r="K278" s="318"/>
      <c r="L278" s="320"/>
      <c r="P278" t="str">
        <f t="shared" si="45"/>
        <v/>
      </c>
      <c r="Q278" t="str">
        <f t="shared" si="46"/>
        <v/>
      </c>
      <c r="R278" t="str">
        <f>IF(P278="","",TEXT(H278,"yyyymm")&amp;"_"&amp;P278&amp;"_"&amp;(COUNTIFS($H$64:$H$500,H278,$P$64:$P$500,P278,$A$64:$A$500,"&gt;"&amp;A278)+COUNTIFS($H$64:H278,H278,$P$64:P278,P278,$A$64:A278,A278)))</f>
        <v/>
      </c>
      <c r="S278" t="str">
        <f t="shared" si="47"/>
        <v/>
      </c>
      <c r="T278" t="str">
        <f t="shared" si="48"/>
        <v/>
      </c>
      <c r="U278" t="str">
        <f t="shared" si="49"/>
        <v/>
      </c>
      <c r="Y278" t="str">
        <f t="shared" si="50"/>
        <v/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 t="str">
        <f t="shared" si="43"/>
        <v/>
      </c>
      <c r="I279" s="318" t="str">
        <f t="shared" si="44"/>
        <v/>
      </c>
      <c r="J279" s="315"/>
      <c r="K279" s="315"/>
      <c r="L279" s="319"/>
      <c r="P279" t="str">
        <f t="shared" si="45"/>
        <v/>
      </c>
      <c r="Q279" t="str">
        <f t="shared" si="46"/>
        <v/>
      </c>
      <c r="R279" t="str">
        <f>IF(P279="","",TEXT(H279,"yyyymm")&amp;"_"&amp;P279&amp;"_"&amp;(COUNTIFS($H$64:$H$500,H279,$P$64:$P$500,P279,$A$64:$A$500,"&gt;"&amp;A279)+COUNTIFS($H$64:H279,H279,$P$64:P279,P279,$A$64:A279,A279)))</f>
        <v/>
      </c>
      <c r="S279" t="str">
        <f t="shared" si="47"/>
        <v/>
      </c>
      <c r="T279" t="str">
        <f t="shared" si="48"/>
        <v/>
      </c>
      <c r="U279" t="str">
        <f t="shared" si="49"/>
        <v/>
      </c>
      <c r="Y279" t="str">
        <f t="shared" si="50"/>
        <v/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 t="str">
        <f t="shared" si="43"/>
        <v/>
      </c>
      <c r="I280" s="318" t="str">
        <f t="shared" si="44"/>
        <v/>
      </c>
      <c r="J280" s="318"/>
      <c r="K280" s="318"/>
      <c r="L280" s="320"/>
      <c r="P280" t="str">
        <f t="shared" si="45"/>
        <v/>
      </c>
      <c r="Q280" t="str">
        <f t="shared" si="46"/>
        <v/>
      </c>
      <c r="R280" t="str">
        <f>IF(P280="","",TEXT(H280,"yyyymm")&amp;"_"&amp;P280&amp;"_"&amp;(COUNTIFS($H$64:$H$500,H280,$P$64:$P$500,P280,$A$64:$A$500,"&gt;"&amp;A280)+COUNTIFS($H$64:H280,H280,$P$64:P280,P280,$A$64:A280,A280)))</f>
        <v/>
      </c>
      <c r="S280" t="str">
        <f t="shared" si="47"/>
        <v/>
      </c>
      <c r="T280" t="str">
        <f t="shared" si="48"/>
        <v/>
      </c>
      <c r="U280" t="str">
        <f t="shared" si="49"/>
        <v/>
      </c>
      <c r="Y280" t="str">
        <f t="shared" si="50"/>
        <v/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 t="str">
        <f t="shared" si="43"/>
        <v/>
      </c>
      <c r="I281" s="318" t="str">
        <f t="shared" si="44"/>
        <v/>
      </c>
      <c r="J281" s="318"/>
      <c r="K281" s="318"/>
      <c r="L281" s="320"/>
      <c r="P281" t="str">
        <f t="shared" si="45"/>
        <v/>
      </c>
      <c r="Q281" t="str">
        <f t="shared" si="46"/>
        <v/>
      </c>
      <c r="R281" t="str">
        <f>IF(P281="","",TEXT(H281,"yyyymm")&amp;"_"&amp;P281&amp;"_"&amp;(COUNTIFS($H$64:$H$500,H281,$P$64:$P$500,P281,$A$64:$A$500,"&gt;"&amp;A281)+COUNTIFS($H$64:H281,H281,$P$64:P281,P281,$A$64:A281,A281)))</f>
        <v/>
      </c>
      <c r="S281" t="str">
        <f t="shared" si="47"/>
        <v/>
      </c>
      <c r="T281" t="str">
        <f t="shared" si="48"/>
        <v/>
      </c>
      <c r="U281" t="str">
        <f t="shared" si="49"/>
        <v/>
      </c>
      <c r="Y281" t="str">
        <f t="shared" si="50"/>
        <v/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 t="str">
        <f t="shared" si="43"/>
        <v/>
      </c>
      <c r="I282" s="318" t="str">
        <f t="shared" si="44"/>
        <v/>
      </c>
      <c r="J282" s="315"/>
      <c r="K282" s="315"/>
      <c r="L282" s="319"/>
      <c r="P282" t="str">
        <f t="shared" si="45"/>
        <v/>
      </c>
      <c r="Q282" t="str">
        <f t="shared" si="46"/>
        <v/>
      </c>
      <c r="R282" t="str">
        <f>IF(P282="","",TEXT(H282,"yyyymm")&amp;"_"&amp;P282&amp;"_"&amp;(COUNTIFS($H$64:$H$500,H282,$P$64:$P$500,P282,$A$64:$A$500,"&gt;"&amp;A282)+COUNTIFS($H$64:H282,H282,$P$64:P282,P282,$A$64:A282,A282)))</f>
        <v/>
      </c>
      <c r="S282" t="str">
        <f t="shared" si="47"/>
        <v/>
      </c>
      <c r="T282" t="str">
        <f t="shared" si="48"/>
        <v/>
      </c>
      <c r="U282" t="str">
        <f t="shared" si="49"/>
        <v/>
      </c>
      <c r="Y282" t="str">
        <f t="shared" si="50"/>
        <v/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 t="str">
        <f t="shared" si="43"/>
        <v/>
      </c>
      <c r="I283" s="318" t="str">
        <f t="shared" si="44"/>
        <v/>
      </c>
      <c r="J283" s="315"/>
      <c r="K283" s="315"/>
      <c r="L283" s="319"/>
      <c r="P283" t="str">
        <f t="shared" si="45"/>
        <v/>
      </c>
      <c r="Q283" t="str">
        <f t="shared" si="46"/>
        <v/>
      </c>
      <c r="R283" t="str">
        <f>IF(P283="","",TEXT(H283,"yyyymm")&amp;"_"&amp;P283&amp;"_"&amp;(COUNTIFS($H$64:$H$500,H283,$P$64:$P$500,P283,$A$64:$A$500,"&gt;"&amp;A283)+COUNTIFS($H$64:H283,H283,$P$64:P283,P283,$A$64:A283,A283)))</f>
        <v/>
      </c>
      <c r="S283" t="str">
        <f t="shared" si="47"/>
        <v/>
      </c>
      <c r="T283" t="str">
        <f t="shared" si="48"/>
        <v/>
      </c>
      <c r="U283" t="str">
        <f t="shared" si="49"/>
        <v/>
      </c>
      <c r="Y283" t="str">
        <f t="shared" si="50"/>
        <v/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 t="str">
        <f t="shared" si="43"/>
        <v/>
      </c>
      <c r="I284" s="318" t="str">
        <f t="shared" si="44"/>
        <v/>
      </c>
      <c r="J284" s="315"/>
      <c r="K284" s="315"/>
      <c r="L284" s="319"/>
      <c r="P284" t="str">
        <f t="shared" si="45"/>
        <v/>
      </c>
      <c r="Q284" t="str">
        <f t="shared" si="46"/>
        <v/>
      </c>
      <c r="R284" t="str">
        <f>IF(P284="","",TEXT(H284,"yyyymm")&amp;"_"&amp;P284&amp;"_"&amp;(COUNTIFS($H$64:$H$500,H284,$P$64:$P$500,P284,$A$64:$A$500,"&gt;"&amp;A284)+COUNTIFS($H$64:H284,H284,$P$64:P284,P284,$A$64:A284,A284)))</f>
        <v/>
      </c>
      <c r="S284" t="str">
        <f t="shared" si="47"/>
        <v/>
      </c>
      <c r="T284" t="str">
        <f t="shared" si="48"/>
        <v/>
      </c>
      <c r="U284" t="str">
        <f t="shared" si="49"/>
        <v/>
      </c>
      <c r="Y284" t="str">
        <f t="shared" si="50"/>
        <v/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 t="str">
        <f t="shared" si="43"/>
        <v/>
      </c>
      <c r="I285" s="318" t="str">
        <f t="shared" si="44"/>
        <v/>
      </c>
      <c r="J285" s="318"/>
      <c r="K285" s="318"/>
      <c r="L285" s="320"/>
      <c r="P285" t="str">
        <f t="shared" si="45"/>
        <v/>
      </c>
      <c r="Q285" t="str">
        <f t="shared" si="46"/>
        <v/>
      </c>
      <c r="R285" t="str">
        <f>IF(P285="","",TEXT(H285,"yyyymm")&amp;"_"&amp;P285&amp;"_"&amp;(COUNTIFS($H$64:$H$500,H285,$P$64:$P$500,P285,$A$64:$A$500,"&gt;"&amp;A285)+COUNTIFS($H$64:H285,H285,$P$64:P285,P285,$A$64:A285,A285)))</f>
        <v/>
      </c>
      <c r="S285" t="str">
        <f t="shared" si="47"/>
        <v/>
      </c>
      <c r="T285" t="str">
        <f t="shared" si="48"/>
        <v/>
      </c>
      <c r="U285" t="str">
        <f t="shared" si="49"/>
        <v/>
      </c>
      <c r="Y285" t="str">
        <f t="shared" si="50"/>
        <v/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 t="str">
        <f t="shared" si="43"/>
        <v/>
      </c>
      <c r="I286" s="318" t="str">
        <f t="shared" si="44"/>
        <v/>
      </c>
      <c r="J286" s="315"/>
      <c r="K286" s="315"/>
      <c r="L286" s="319"/>
      <c r="P286" t="str">
        <f t="shared" si="45"/>
        <v/>
      </c>
      <c r="Q286" t="str">
        <f t="shared" si="46"/>
        <v/>
      </c>
      <c r="R286" t="str">
        <f>IF(P286="","",TEXT(H286,"yyyymm")&amp;"_"&amp;P286&amp;"_"&amp;(COUNTIFS($H$64:$H$500,H286,$P$64:$P$500,P286,$A$64:$A$500,"&gt;"&amp;A286)+COUNTIFS($H$64:H286,H286,$P$64:P286,P286,$A$64:A286,A286)))</f>
        <v/>
      </c>
      <c r="S286" t="str">
        <f t="shared" si="47"/>
        <v/>
      </c>
      <c r="T286" t="str">
        <f t="shared" si="48"/>
        <v/>
      </c>
      <c r="U286" t="str">
        <f t="shared" si="49"/>
        <v/>
      </c>
      <c r="Y286" t="str">
        <f t="shared" si="50"/>
        <v/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 t="str">
        <f t="shared" si="43"/>
        <v/>
      </c>
      <c r="I287" s="318" t="str">
        <f t="shared" si="44"/>
        <v/>
      </c>
      <c r="J287" s="315"/>
      <c r="K287" s="315"/>
      <c r="L287" s="319"/>
      <c r="P287" t="str">
        <f t="shared" si="45"/>
        <v/>
      </c>
      <c r="Q287" t="str">
        <f t="shared" si="46"/>
        <v/>
      </c>
      <c r="R287" t="str">
        <f>IF(P287="","",TEXT(H287,"yyyymm")&amp;"_"&amp;P287&amp;"_"&amp;(COUNTIFS($H$64:$H$500,H287,$P$64:$P$500,P287,$A$64:$A$500,"&gt;"&amp;A287)+COUNTIFS($H$64:H287,H287,$P$64:P287,P287,$A$64:A287,A287)))</f>
        <v/>
      </c>
      <c r="S287" t="str">
        <f t="shared" si="47"/>
        <v/>
      </c>
      <c r="T287" t="str">
        <f t="shared" si="48"/>
        <v/>
      </c>
      <c r="U287" t="str">
        <f t="shared" si="49"/>
        <v/>
      </c>
      <c r="Y287" t="str">
        <f t="shared" si="50"/>
        <v/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 t="str">
        <f t="shared" si="43"/>
        <v/>
      </c>
      <c r="I288" s="318" t="str">
        <f t="shared" si="44"/>
        <v/>
      </c>
      <c r="J288" s="315"/>
      <c r="K288" s="315"/>
      <c r="L288" s="319"/>
      <c r="P288" t="str">
        <f t="shared" si="45"/>
        <v/>
      </c>
      <c r="Q288" t="str">
        <f t="shared" si="46"/>
        <v/>
      </c>
      <c r="R288" t="str">
        <f>IF(P288="","",TEXT(H288,"yyyymm")&amp;"_"&amp;P288&amp;"_"&amp;(COUNTIFS($H$64:$H$500,H288,$P$64:$P$500,P288,$A$64:$A$500,"&gt;"&amp;A288)+COUNTIFS($H$64:H288,H288,$P$64:P288,P288,$A$64:A288,A288)))</f>
        <v/>
      </c>
      <c r="S288" t="str">
        <f t="shared" si="47"/>
        <v/>
      </c>
      <c r="T288" t="str">
        <f t="shared" si="48"/>
        <v/>
      </c>
      <c r="U288" t="str">
        <f t="shared" si="49"/>
        <v/>
      </c>
      <c r="Y288" t="str">
        <f t="shared" si="50"/>
        <v/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 t="str">
        <f t="shared" si="43"/>
        <v/>
      </c>
      <c r="I289" s="318" t="str">
        <f t="shared" si="44"/>
        <v/>
      </c>
      <c r="J289" s="318"/>
      <c r="K289" s="318"/>
      <c r="L289" s="320"/>
      <c r="P289" t="str">
        <f t="shared" si="45"/>
        <v/>
      </c>
      <c r="Q289" t="str">
        <f t="shared" si="46"/>
        <v/>
      </c>
      <c r="R289" t="str">
        <f>IF(P289="","",TEXT(H289,"yyyymm")&amp;"_"&amp;P289&amp;"_"&amp;(COUNTIFS($H$64:$H$500,H289,$P$64:$P$500,P289,$A$64:$A$500,"&gt;"&amp;A289)+COUNTIFS($H$64:H289,H289,$P$64:P289,P289,$A$64:A289,A289)))</f>
        <v/>
      </c>
      <c r="S289" t="str">
        <f t="shared" si="47"/>
        <v/>
      </c>
      <c r="T289" t="str">
        <f t="shared" si="48"/>
        <v/>
      </c>
      <c r="U289" t="str">
        <f t="shared" si="49"/>
        <v/>
      </c>
      <c r="Y289" t="str">
        <f t="shared" si="50"/>
        <v/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 t="str">
        <f t="shared" si="43"/>
        <v/>
      </c>
      <c r="I290" s="318" t="str">
        <f t="shared" si="44"/>
        <v/>
      </c>
      <c r="J290" s="315"/>
      <c r="K290" s="315"/>
      <c r="L290" s="319"/>
      <c r="P290" t="str">
        <f t="shared" si="45"/>
        <v/>
      </c>
      <c r="Q290" t="str">
        <f t="shared" si="46"/>
        <v/>
      </c>
      <c r="R290" t="str">
        <f>IF(P290="","",TEXT(H290,"yyyymm")&amp;"_"&amp;P290&amp;"_"&amp;(COUNTIFS($H$64:$H$500,H290,$P$64:$P$500,P290,$A$64:$A$500,"&gt;"&amp;A290)+COUNTIFS($H$64:H290,H290,$P$64:P290,P290,$A$64:A290,A290)))</f>
        <v/>
      </c>
      <c r="S290" t="str">
        <f t="shared" si="47"/>
        <v/>
      </c>
      <c r="T290" t="str">
        <f t="shared" si="48"/>
        <v/>
      </c>
      <c r="U290" t="str">
        <f t="shared" si="49"/>
        <v/>
      </c>
      <c r="Y290" t="str">
        <f t="shared" si="50"/>
        <v/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 t="str">
        <f t="shared" si="43"/>
        <v/>
      </c>
      <c r="I291" s="318" t="str">
        <f t="shared" si="44"/>
        <v/>
      </c>
      <c r="J291" s="315"/>
      <c r="K291" s="315"/>
      <c r="L291" s="319"/>
      <c r="P291" t="str">
        <f t="shared" si="45"/>
        <v/>
      </c>
      <c r="Q291" t="str">
        <f t="shared" si="46"/>
        <v/>
      </c>
      <c r="R291" t="str">
        <f>IF(P291="","",TEXT(H291,"yyyymm")&amp;"_"&amp;P291&amp;"_"&amp;(COUNTIFS($H$64:$H$500,H291,$P$64:$P$500,P291,$A$64:$A$500,"&gt;"&amp;A291)+COUNTIFS($H$64:H291,H291,$P$64:P291,P291,$A$64:A291,A291)))</f>
        <v/>
      </c>
      <c r="S291" t="str">
        <f t="shared" si="47"/>
        <v/>
      </c>
      <c r="T291" t="str">
        <f t="shared" si="48"/>
        <v/>
      </c>
      <c r="U291" t="str">
        <f t="shared" si="49"/>
        <v/>
      </c>
      <c r="Y291" t="str">
        <f t="shared" si="50"/>
        <v/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 t="str">
        <f t="shared" si="43"/>
        <v/>
      </c>
      <c r="I292" s="318" t="str">
        <f t="shared" si="44"/>
        <v/>
      </c>
      <c r="J292" s="315"/>
      <c r="K292" s="315"/>
      <c r="L292" s="319"/>
      <c r="P292" t="str">
        <f t="shared" si="45"/>
        <v/>
      </c>
      <c r="Q292" t="str">
        <f t="shared" si="46"/>
        <v/>
      </c>
      <c r="R292" t="str">
        <f>IF(P292="","",TEXT(H292,"yyyymm")&amp;"_"&amp;P292&amp;"_"&amp;(COUNTIFS($H$64:$H$500,H292,$P$64:$P$500,P292,$A$64:$A$500,"&gt;"&amp;A292)+COUNTIFS($H$64:H292,H292,$P$64:P292,P292,$A$64:A292,A292)))</f>
        <v/>
      </c>
      <c r="S292" t="str">
        <f t="shared" si="47"/>
        <v/>
      </c>
      <c r="T292" t="str">
        <f t="shared" si="48"/>
        <v/>
      </c>
      <c r="U292" t="str">
        <f t="shared" si="49"/>
        <v/>
      </c>
      <c r="Y292" t="str">
        <f t="shared" si="50"/>
        <v/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 t="str">
        <f t="shared" si="43"/>
        <v/>
      </c>
      <c r="I293" s="318" t="str">
        <f t="shared" si="44"/>
        <v/>
      </c>
      <c r="J293" s="318"/>
      <c r="K293" s="318"/>
      <c r="L293" s="320"/>
      <c r="P293" t="str">
        <f t="shared" si="45"/>
        <v/>
      </c>
      <c r="Q293" t="str">
        <f t="shared" si="46"/>
        <v/>
      </c>
      <c r="R293" t="str">
        <f>IF(P293="","",TEXT(H293,"yyyymm")&amp;"_"&amp;P293&amp;"_"&amp;(COUNTIFS($H$64:$H$500,H293,$P$64:$P$500,P293,$A$64:$A$500,"&gt;"&amp;A293)+COUNTIFS($H$64:H293,H293,$P$64:P293,P293,$A$64:A293,A293)))</f>
        <v/>
      </c>
      <c r="S293" t="str">
        <f t="shared" si="47"/>
        <v/>
      </c>
      <c r="T293" t="str">
        <f t="shared" si="48"/>
        <v/>
      </c>
      <c r="U293" t="str">
        <f t="shared" si="49"/>
        <v/>
      </c>
      <c r="Y293" t="str">
        <f t="shared" si="50"/>
        <v/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 t="str">
        <f t="shared" si="43"/>
        <v/>
      </c>
      <c r="I294" s="318" t="str">
        <f t="shared" si="44"/>
        <v/>
      </c>
      <c r="J294" s="315"/>
      <c r="K294" s="315"/>
      <c r="L294" s="319"/>
      <c r="P294" t="str">
        <f t="shared" si="45"/>
        <v/>
      </c>
      <c r="Q294" t="str">
        <f t="shared" si="46"/>
        <v/>
      </c>
      <c r="R294" t="str">
        <f>IF(P294="","",TEXT(H294,"yyyymm")&amp;"_"&amp;P294&amp;"_"&amp;(COUNTIFS($H$64:$H$500,H294,$P$64:$P$500,P294,$A$64:$A$500,"&gt;"&amp;A294)+COUNTIFS($H$64:H294,H294,$P$64:P294,P294,$A$64:A294,A294)))</f>
        <v/>
      </c>
      <c r="S294" t="str">
        <f t="shared" si="47"/>
        <v/>
      </c>
      <c r="T294" t="str">
        <f t="shared" si="48"/>
        <v/>
      </c>
      <c r="U294" t="str">
        <f t="shared" si="49"/>
        <v/>
      </c>
      <c r="Y294" t="str">
        <f t="shared" si="50"/>
        <v/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 t="str">
        <f t="shared" si="43"/>
        <v/>
      </c>
      <c r="I295" s="318" t="str">
        <f t="shared" si="44"/>
        <v/>
      </c>
      <c r="J295" s="315"/>
      <c r="K295" s="315"/>
      <c r="L295" s="319"/>
      <c r="P295" t="str">
        <f t="shared" si="45"/>
        <v/>
      </c>
      <c r="Q295" t="str">
        <f t="shared" si="46"/>
        <v/>
      </c>
      <c r="R295" t="str">
        <f>IF(P295="","",TEXT(H295,"yyyymm")&amp;"_"&amp;P295&amp;"_"&amp;(COUNTIFS($H$64:$H$500,H295,$P$64:$P$500,P295,$A$64:$A$500,"&gt;"&amp;A295)+COUNTIFS($H$64:H295,H295,$P$64:P295,P295,$A$64:A295,A295)))</f>
        <v/>
      </c>
      <c r="S295" t="str">
        <f t="shared" si="47"/>
        <v/>
      </c>
      <c r="T295" t="str">
        <f t="shared" si="48"/>
        <v/>
      </c>
      <c r="U295" t="str">
        <f t="shared" si="49"/>
        <v/>
      </c>
      <c r="Y295" t="str">
        <f t="shared" si="50"/>
        <v/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 t="str">
        <f t="shared" si="43"/>
        <v/>
      </c>
      <c r="I296" s="318" t="str">
        <f t="shared" si="44"/>
        <v/>
      </c>
      <c r="J296" s="315"/>
      <c r="K296" s="315"/>
      <c r="L296" s="319"/>
      <c r="P296" t="str">
        <f t="shared" si="45"/>
        <v/>
      </c>
      <c r="Q296" t="str">
        <f t="shared" si="46"/>
        <v/>
      </c>
      <c r="R296" t="str">
        <f>IF(P296="","",TEXT(H296,"yyyymm")&amp;"_"&amp;P296&amp;"_"&amp;(COUNTIFS($H$64:$H$500,H296,$P$64:$P$500,P296,$A$64:$A$500,"&gt;"&amp;A296)+COUNTIFS($H$64:H296,H296,$P$64:P296,P296,$A$64:A296,A296)))</f>
        <v/>
      </c>
      <c r="S296" t="str">
        <f t="shared" si="47"/>
        <v/>
      </c>
      <c r="T296" t="str">
        <f t="shared" si="48"/>
        <v/>
      </c>
      <c r="U296" t="str">
        <f t="shared" si="49"/>
        <v/>
      </c>
      <c r="Y296" t="str">
        <f t="shared" si="50"/>
        <v/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 t="str">
        <f t="shared" si="43"/>
        <v/>
      </c>
      <c r="I297" s="318" t="str">
        <f t="shared" si="44"/>
        <v/>
      </c>
      <c r="J297" s="315"/>
      <c r="K297" s="315"/>
      <c r="L297" s="319"/>
      <c r="P297" t="str">
        <f t="shared" si="45"/>
        <v/>
      </c>
      <c r="Q297" t="str">
        <f t="shared" si="46"/>
        <v/>
      </c>
      <c r="R297" t="str">
        <f>IF(P297="","",TEXT(H297,"yyyymm")&amp;"_"&amp;P297&amp;"_"&amp;(COUNTIFS($H$64:$H$500,H297,$P$64:$P$500,P297,$A$64:$A$500,"&gt;"&amp;A297)+COUNTIFS($H$64:H297,H297,$P$64:P297,P297,$A$64:A297,A297)))</f>
        <v/>
      </c>
      <c r="S297" t="str">
        <f t="shared" si="47"/>
        <v/>
      </c>
      <c r="T297" t="str">
        <f t="shared" si="48"/>
        <v/>
      </c>
      <c r="U297" t="str">
        <f t="shared" si="49"/>
        <v/>
      </c>
      <c r="Y297" t="str">
        <f t="shared" si="50"/>
        <v/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 t="str">
        <f t="shared" si="43"/>
        <v/>
      </c>
      <c r="I298" s="318" t="str">
        <f t="shared" si="44"/>
        <v/>
      </c>
      <c r="J298" s="315"/>
      <c r="K298" s="315"/>
      <c r="L298" s="319"/>
      <c r="P298" t="str">
        <f t="shared" si="45"/>
        <v/>
      </c>
      <c r="Q298" t="str">
        <f t="shared" si="46"/>
        <v/>
      </c>
      <c r="R298" t="str">
        <f>IF(P298="","",TEXT(H298,"yyyymm")&amp;"_"&amp;P298&amp;"_"&amp;(COUNTIFS($H$64:$H$500,H298,$P$64:$P$500,P298,$A$64:$A$500,"&gt;"&amp;A298)+COUNTIFS($H$64:H298,H298,$P$64:P298,P298,$A$64:A298,A298)))</f>
        <v/>
      </c>
      <c r="S298" t="str">
        <f t="shared" si="47"/>
        <v/>
      </c>
      <c r="T298" t="str">
        <f t="shared" si="48"/>
        <v/>
      </c>
      <c r="U298" t="str">
        <f t="shared" si="49"/>
        <v/>
      </c>
      <c r="Y298" t="str">
        <f t="shared" si="50"/>
        <v/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 t="str">
        <f t="shared" si="43"/>
        <v/>
      </c>
      <c r="I299" s="318" t="str">
        <f t="shared" si="44"/>
        <v/>
      </c>
      <c r="J299" s="318"/>
      <c r="K299" s="318"/>
      <c r="L299" s="320"/>
      <c r="P299" t="str">
        <f t="shared" si="45"/>
        <v/>
      </c>
      <c r="Q299" t="str">
        <f t="shared" si="46"/>
        <v/>
      </c>
      <c r="R299" t="str">
        <f>IF(P299="","",TEXT(H299,"yyyymm")&amp;"_"&amp;P299&amp;"_"&amp;(COUNTIFS($H$64:$H$500,H299,$P$64:$P$500,P299,$A$64:$A$500,"&gt;"&amp;A299)+COUNTIFS($H$64:H299,H299,$P$64:P299,P299,$A$64:A299,A299)))</f>
        <v/>
      </c>
      <c r="S299" t="str">
        <f t="shared" si="47"/>
        <v/>
      </c>
      <c r="T299" t="str">
        <f t="shared" si="48"/>
        <v/>
      </c>
      <c r="U299" t="str">
        <f t="shared" si="49"/>
        <v/>
      </c>
      <c r="Y299" t="str">
        <f t="shared" si="50"/>
        <v/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 t="str">
        <f t="shared" si="43"/>
        <v/>
      </c>
      <c r="I300" s="318" t="str">
        <f t="shared" si="44"/>
        <v/>
      </c>
      <c r="J300" s="318"/>
      <c r="K300" s="318"/>
      <c r="L300" s="320"/>
      <c r="P300" t="str">
        <f t="shared" si="45"/>
        <v/>
      </c>
      <c r="Q300" t="str">
        <f t="shared" si="46"/>
        <v/>
      </c>
      <c r="R300" t="str">
        <f>IF(P300="","",TEXT(H300,"yyyymm")&amp;"_"&amp;P300&amp;"_"&amp;(COUNTIFS($H$64:$H$500,H300,$P$64:$P$500,P300,$A$64:$A$500,"&gt;"&amp;A300)+COUNTIFS($H$64:H300,H300,$P$64:P300,P300,$A$64:A300,A300)))</f>
        <v/>
      </c>
      <c r="S300" t="str">
        <f t="shared" si="47"/>
        <v/>
      </c>
      <c r="T300" t="str">
        <f t="shared" si="48"/>
        <v/>
      </c>
      <c r="U300" t="str">
        <f t="shared" si="49"/>
        <v/>
      </c>
      <c r="Y300" t="str">
        <f t="shared" si="50"/>
        <v/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 t="str">
        <f t="shared" si="43"/>
        <v/>
      </c>
      <c r="I301" s="318" t="str">
        <f t="shared" si="44"/>
        <v/>
      </c>
      <c r="J301" s="315"/>
      <c r="K301" s="315"/>
      <c r="L301" s="319"/>
      <c r="P301" t="str">
        <f t="shared" si="45"/>
        <v/>
      </c>
      <c r="Q301" t="str">
        <f t="shared" si="46"/>
        <v/>
      </c>
      <c r="R301" t="str">
        <f>IF(P301="","",TEXT(H301,"yyyymm")&amp;"_"&amp;P301&amp;"_"&amp;(COUNTIFS($H$64:$H$500,H301,$P$64:$P$500,P301,$A$64:$A$500,"&gt;"&amp;A301)+COUNTIFS($H$64:H301,H301,$P$64:P301,P301,$A$64:A301,A301)))</f>
        <v/>
      </c>
      <c r="S301" t="str">
        <f t="shared" si="47"/>
        <v/>
      </c>
      <c r="T301" t="str">
        <f t="shared" si="48"/>
        <v/>
      </c>
      <c r="U301" t="str">
        <f t="shared" si="49"/>
        <v/>
      </c>
      <c r="Y301" t="str">
        <f t="shared" si="50"/>
        <v/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 t="str">
        <f t="shared" si="43"/>
        <v/>
      </c>
      <c r="I302" s="318" t="str">
        <f t="shared" si="44"/>
        <v/>
      </c>
      <c r="J302" s="315"/>
      <c r="K302" s="315"/>
      <c r="L302" s="319"/>
      <c r="P302" t="str">
        <f t="shared" si="45"/>
        <v/>
      </c>
      <c r="Q302" t="str">
        <f t="shared" si="46"/>
        <v/>
      </c>
      <c r="R302" t="str">
        <f>IF(P302="","",TEXT(H302,"yyyymm")&amp;"_"&amp;P302&amp;"_"&amp;(COUNTIFS($H$64:$H$500,H302,$P$64:$P$500,P302,$A$64:$A$500,"&gt;"&amp;A302)+COUNTIFS($H$64:H302,H302,$P$64:P302,P302,$A$64:A302,A302)))</f>
        <v/>
      </c>
      <c r="S302" t="str">
        <f t="shared" si="47"/>
        <v/>
      </c>
      <c r="T302" t="str">
        <f t="shared" si="48"/>
        <v/>
      </c>
      <c r="U302" t="str">
        <f t="shared" si="49"/>
        <v/>
      </c>
      <c r="Y302" t="str">
        <f t="shared" si="50"/>
        <v/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 t="str">
        <f t="shared" si="43"/>
        <v/>
      </c>
      <c r="I303" s="318" t="str">
        <f t="shared" si="44"/>
        <v/>
      </c>
      <c r="J303" s="315"/>
      <c r="K303" s="315"/>
      <c r="L303" s="319"/>
      <c r="P303" t="str">
        <f t="shared" si="45"/>
        <v/>
      </c>
      <c r="Q303" t="str">
        <f t="shared" si="46"/>
        <v/>
      </c>
      <c r="R303" t="str">
        <f>IF(P303="","",TEXT(H303,"yyyymm")&amp;"_"&amp;P303&amp;"_"&amp;(COUNTIFS($H$64:$H$500,H303,$P$64:$P$500,P303,$A$64:$A$500,"&gt;"&amp;A303)+COUNTIFS($H$64:H303,H303,$P$64:P303,P303,$A$64:A303,A303)))</f>
        <v/>
      </c>
      <c r="S303" t="str">
        <f t="shared" si="47"/>
        <v/>
      </c>
      <c r="T303" t="str">
        <f t="shared" si="48"/>
        <v/>
      </c>
      <c r="U303" t="str">
        <f t="shared" si="49"/>
        <v/>
      </c>
      <c r="Y303" t="str">
        <f t="shared" si="50"/>
        <v/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 t="str">
        <f t="shared" si="43"/>
        <v/>
      </c>
      <c r="I304" s="318" t="str">
        <f t="shared" si="44"/>
        <v/>
      </c>
      <c r="J304" s="315"/>
      <c r="K304" s="315"/>
      <c r="L304" s="319"/>
      <c r="P304" t="str">
        <f t="shared" si="45"/>
        <v/>
      </c>
      <c r="Q304" t="str">
        <f t="shared" si="46"/>
        <v/>
      </c>
      <c r="R304" t="str">
        <f>IF(P304="","",TEXT(H304,"yyyymm")&amp;"_"&amp;P304&amp;"_"&amp;(COUNTIFS($H$64:$H$500,H304,$P$64:$P$500,P304,$A$64:$A$500,"&gt;"&amp;A304)+COUNTIFS($H$64:H304,H304,$P$64:P304,P304,$A$64:A304,A304)))</f>
        <v/>
      </c>
      <c r="S304" t="str">
        <f t="shared" si="47"/>
        <v/>
      </c>
      <c r="T304" t="str">
        <f t="shared" si="48"/>
        <v/>
      </c>
      <c r="U304" t="str">
        <f t="shared" si="49"/>
        <v/>
      </c>
      <c r="Y304" t="str">
        <f t="shared" si="50"/>
        <v/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 t="str">
        <f t="shared" si="43"/>
        <v/>
      </c>
      <c r="I305" s="318" t="str">
        <f t="shared" si="44"/>
        <v/>
      </c>
      <c r="J305" s="315"/>
      <c r="K305" s="315"/>
      <c r="L305" s="319"/>
      <c r="P305" t="str">
        <f t="shared" si="45"/>
        <v/>
      </c>
      <c r="Q305" t="str">
        <f t="shared" si="46"/>
        <v/>
      </c>
      <c r="R305" t="str">
        <f>IF(P305="","",TEXT(H305,"yyyymm")&amp;"_"&amp;P305&amp;"_"&amp;(COUNTIFS($H$64:$H$500,H305,$P$64:$P$500,P305,$A$64:$A$500,"&gt;"&amp;A305)+COUNTIFS($H$64:H305,H305,$P$64:P305,P305,$A$64:A305,A305)))</f>
        <v/>
      </c>
      <c r="S305" t="str">
        <f t="shared" si="47"/>
        <v/>
      </c>
      <c r="T305" t="str">
        <f t="shared" si="48"/>
        <v/>
      </c>
      <c r="U305" t="str">
        <f t="shared" si="49"/>
        <v/>
      </c>
      <c r="Y305" t="str">
        <f t="shared" si="50"/>
        <v/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 t="str">
        <f t="shared" si="43"/>
        <v/>
      </c>
      <c r="I306" s="318" t="str">
        <f t="shared" si="44"/>
        <v/>
      </c>
      <c r="J306" s="315"/>
      <c r="K306" s="315"/>
      <c r="L306" s="319"/>
      <c r="P306" t="str">
        <f t="shared" si="45"/>
        <v/>
      </c>
      <c r="Q306" t="str">
        <f t="shared" si="46"/>
        <v/>
      </c>
      <c r="R306" t="str">
        <f>IF(P306="","",TEXT(H306,"yyyymm")&amp;"_"&amp;P306&amp;"_"&amp;(COUNTIFS($H$64:$H$500,H306,$P$64:$P$500,P306,$A$64:$A$500,"&gt;"&amp;A306)+COUNTIFS($H$64:H306,H306,$P$64:P306,P306,$A$64:A306,A306)))</f>
        <v/>
      </c>
      <c r="S306" t="str">
        <f t="shared" si="47"/>
        <v/>
      </c>
      <c r="T306" t="str">
        <f t="shared" si="48"/>
        <v/>
      </c>
      <c r="U306" t="str">
        <f t="shared" si="49"/>
        <v/>
      </c>
      <c r="Y306" t="str">
        <f t="shared" si="50"/>
        <v/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 t="str">
        <f t="shared" si="43"/>
        <v/>
      </c>
      <c r="I307" s="318" t="str">
        <f t="shared" si="44"/>
        <v/>
      </c>
      <c r="J307" s="318"/>
      <c r="K307" s="318"/>
      <c r="L307" s="320"/>
      <c r="P307" t="str">
        <f t="shared" si="45"/>
        <v/>
      </c>
      <c r="Q307" t="str">
        <f t="shared" si="46"/>
        <v/>
      </c>
      <c r="R307" t="str">
        <f>IF(P307="","",TEXT(H307,"yyyymm")&amp;"_"&amp;P307&amp;"_"&amp;(COUNTIFS($H$64:$H$500,H307,$P$64:$P$500,P307,$A$64:$A$500,"&gt;"&amp;A307)+COUNTIFS($H$64:H307,H307,$P$64:P307,P307,$A$64:A307,A307)))</f>
        <v/>
      </c>
      <c r="S307" t="str">
        <f t="shared" si="47"/>
        <v/>
      </c>
      <c r="T307" t="str">
        <f t="shared" si="48"/>
        <v/>
      </c>
      <c r="U307" t="str">
        <f t="shared" si="49"/>
        <v/>
      </c>
      <c r="Y307" t="str">
        <f t="shared" si="50"/>
        <v/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 t="str">
        <f t="shared" si="43"/>
        <v/>
      </c>
      <c r="I308" s="318" t="str">
        <f t="shared" si="44"/>
        <v/>
      </c>
      <c r="J308" s="315"/>
      <c r="K308" s="315"/>
      <c r="L308" s="319"/>
      <c r="P308" t="str">
        <f t="shared" si="45"/>
        <v/>
      </c>
      <c r="Q308" t="str">
        <f t="shared" si="46"/>
        <v/>
      </c>
      <c r="R308" t="str">
        <f>IF(P308="","",TEXT(H308,"yyyymm")&amp;"_"&amp;P308&amp;"_"&amp;(COUNTIFS($H$64:$H$500,H308,$P$64:$P$500,P308,$A$64:$A$500,"&gt;"&amp;A308)+COUNTIFS($H$64:H308,H308,$P$64:P308,P308,$A$64:A308,A308)))</f>
        <v/>
      </c>
      <c r="S308" t="str">
        <f t="shared" si="47"/>
        <v/>
      </c>
      <c r="T308" t="str">
        <f t="shared" si="48"/>
        <v/>
      </c>
      <c r="U308" t="str">
        <f t="shared" si="49"/>
        <v/>
      </c>
      <c r="Y308" t="str">
        <f t="shared" si="50"/>
        <v/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 t="str">
        <f t="shared" si="43"/>
        <v/>
      </c>
      <c r="I309" s="318" t="str">
        <f t="shared" si="44"/>
        <v/>
      </c>
      <c r="J309" s="315"/>
      <c r="K309" s="315"/>
      <c r="L309" s="319"/>
      <c r="P309" t="str">
        <f t="shared" si="45"/>
        <v/>
      </c>
      <c r="Q309" t="str">
        <f t="shared" si="46"/>
        <v/>
      </c>
      <c r="R309" t="str">
        <f>IF(P309="","",TEXT(H309,"yyyymm")&amp;"_"&amp;P309&amp;"_"&amp;(COUNTIFS($H$64:$H$500,H309,$P$64:$P$500,P309,$A$64:$A$500,"&gt;"&amp;A309)+COUNTIFS($H$64:H309,H309,$P$64:P309,P309,$A$64:A309,A309)))</f>
        <v/>
      </c>
      <c r="S309" t="str">
        <f t="shared" si="47"/>
        <v/>
      </c>
      <c r="T309" t="str">
        <f t="shared" si="48"/>
        <v/>
      </c>
      <c r="U309" t="str">
        <f t="shared" si="49"/>
        <v/>
      </c>
      <c r="Y309" t="str">
        <f t="shared" si="50"/>
        <v/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 t="str">
        <f t="shared" si="43"/>
        <v/>
      </c>
      <c r="I310" s="318" t="str">
        <f t="shared" si="44"/>
        <v/>
      </c>
      <c r="J310" s="315"/>
      <c r="K310" s="315"/>
      <c r="L310" s="319"/>
      <c r="P310" t="str">
        <f t="shared" si="45"/>
        <v/>
      </c>
      <c r="Q310" t="str">
        <f t="shared" si="46"/>
        <v/>
      </c>
      <c r="R310" t="str">
        <f>IF(P310="","",TEXT(H310,"yyyymm")&amp;"_"&amp;P310&amp;"_"&amp;(COUNTIFS($H$64:$H$500,H310,$P$64:$P$500,P310,$A$64:$A$500,"&gt;"&amp;A310)+COUNTIFS($H$64:H310,H310,$P$64:P310,P310,$A$64:A310,A310)))</f>
        <v/>
      </c>
      <c r="S310" t="str">
        <f t="shared" si="47"/>
        <v/>
      </c>
      <c r="T310" t="str">
        <f t="shared" si="48"/>
        <v/>
      </c>
      <c r="U310" t="str">
        <f t="shared" si="49"/>
        <v/>
      </c>
      <c r="Y310" t="str">
        <f t="shared" si="50"/>
        <v/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 t="str">
        <f t="shared" si="43"/>
        <v/>
      </c>
      <c r="I311" s="318" t="str">
        <f t="shared" si="44"/>
        <v/>
      </c>
      <c r="J311" s="315"/>
      <c r="K311" s="315"/>
      <c r="L311" s="319"/>
      <c r="P311" t="str">
        <f t="shared" si="45"/>
        <v/>
      </c>
      <c r="Q311" t="str">
        <f t="shared" si="46"/>
        <v/>
      </c>
      <c r="R311" t="str">
        <f>IF(P311="","",TEXT(H311,"yyyymm")&amp;"_"&amp;P311&amp;"_"&amp;(COUNTIFS($H$64:$H$500,H311,$P$64:$P$500,P311,$A$64:$A$500,"&gt;"&amp;A311)+COUNTIFS($H$64:H311,H311,$P$64:P311,P311,$A$64:A311,A311)))</f>
        <v/>
      </c>
      <c r="S311" t="str">
        <f t="shared" si="47"/>
        <v/>
      </c>
      <c r="T311" t="str">
        <f t="shared" si="48"/>
        <v/>
      </c>
      <c r="U311" t="str">
        <f t="shared" si="49"/>
        <v/>
      </c>
      <c r="Y311" t="str">
        <f t="shared" si="50"/>
        <v/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 t="str">
        <f t="shared" si="43"/>
        <v/>
      </c>
      <c r="I312" s="318" t="str">
        <f t="shared" si="44"/>
        <v/>
      </c>
      <c r="J312" s="315"/>
      <c r="K312" s="315"/>
      <c r="L312" s="319"/>
      <c r="P312" t="str">
        <f t="shared" si="45"/>
        <v/>
      </c>
      <c r="Q312" t="str">
        <f t="shared" si="46"/>
        <v/>
      </c>
      <c r="R312" t="str">
        <f>IF(P312="","",TEXT(H312,"yyyymm")&amp;"_"&amp;P312&amp;"_"&amp;(COUNTIFS($H$64:$H$500,H312,$P$64:$P$500,P312,$A$64:$A$500,"&gt;"&amp;A312)+COUNTIFS($H$64:H312,H312,$P$64:P312,P312,$A$64:A312,A312)))</f>
        <v/>
      </c>
      <c r="S312" t="str">
        <f t="shared" si="47"/>
        <v/>
      </c>
      <c r="T312" t="str">
        <f t="shared" si="48"/>
        <v/>
      </c>
      <c r="U312" t="str">
        <f t="shared" si="49"/>
        <v/>
      </c>
      <c r="Y312" t="str">
        <f t="shared" si="50"/>
        <v/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 t="str">
        <f t="shared" si="43"/>
        <v/>
      </c>
      <c r="I313" s="318" t="str">
        <f t="shared" si="44"/>
        <v/>
      </c>
      <c r="J313" s="315"/>
      <c r="K313" s="315"/>
      <c r="L313" s="319"/>
      <c r="P313" t="str">
        <f t="shared" si="45"/>
        <v/>
      </c>
      <c r="Q313" t="str">
        <f t="shared" si="46"/>
        <v/>
      </c>
      <c r="R313" t="str">
        <f>IF(P313="","",TEXT(H313,"yyyymm")&amp;"_"&amp;P313&amp;"_"&amp;(COUNTIFS($H$64:$H$500,H313,$P$64:$P$500,P313,$A$64:$A$500,"&gt;"&amp;A313)+COUNTIFS($H$64:H313,H313,$P$64:P313,P313,$A$64:A313,A313)))</f>
        <v/>
      </c>
      <c r="S313" t="str">
        <f t="shared" si="47"/>
        <v/>
      </c>
      <c r="T313" t="str">
        <f t="shared" si="48"/>
        <v/>
      </c>
      <c r="U313" t="str">
        <f t="shared" si="49"/>
        <v/>
      </c>
      <c r="Y313" t="str">
        <f t="shared" si="50"/>
        <v/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 t="str">
        <f t="shared" si="43"/>
        <v/>
      </c>
      <c r="I314" s="318" t="str">
        <f t="shared" si="44"/>
        <v/>
      </c>
      <c r="J314" s="315"/>
      <c r="K314" s="315"/>
      <c r="L314" s="319"/>
      <c r="P314" t="str">
        <f t="shared" si="45"/>
        <v/>
      </c>
      <c r="Q314" t="str">
        <f t="shared" si="46"/>
        <v/>
      </c>
      <c r="R314" t="str">
        <f>IF(P314="","",TEXT(H314,"yyyymm")&amp;"_"&amp;P314&amp;"_"&amp;(COUNTIFS($H$64:$H$500,H314,$P$64:$P$500,P314,$A$64:$A$500,"&gt;"&amp;A314)+COUNTIFS($H$64:H314,H314,$P$64:P314,P314,$A$64:A314,A314)))</f>
        <v/>
      </c>
      <c r="S314" t="str">
        <f t="shared" si="47"/>
        <v/>
      </c>
      <c r="T314" t="str">
        <f t="shared" si="48"/>
        <v/>
      </c>
      <c r="U314" t="str">
        <f t="shared" si="49"/>
        <v/>
      </c>
      <c r="Y314" t="str">
        <f t="shared" si="50"/>
        <v/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 t="str">
        <f t="shared" si="43"/>
        <v/>
      </c>
      <c r="I315" s="318" t="str">
        <f t="shared" si="44"/>
        <v/>
      </c>
      <c r="J315" s="315"/>
      <c r="K315" s="315"/>
      <c r="L315" s="319"/>
      <c r="P315" t="str">
        <f t="shared" si="45"/>
        <v/>
      </c>
      <c r="Q315" t="str">
        <f t="shared" si="46"/>
        <v/>
      </c>
      <c r="R315" t="str">
        <f>IF(P315="","",TEXT(H315,"yyyymm")&amp;"_"&amp;P315&amp;"_"&amp;(COUNTIFS($H$64:$H$500,H315,$P$64:$P$500,P315,$A$64:$A$500,"&gt;"&amp;A315)+COUNTIFS($H$64:H315,H315,$P$64:P315,P315,$A$64:A315,A315)))</f>
        <v/>
      </c>
      <c r="S315" t="str">
        <f t="shared" si="47"/>
        <v/>
      </c>
      <c r="T315" t="str">
        <f t="shared" si="48"/>
        <v/>
      </c>
      <c r="U315" t="str">
        <f t="shared" si="49"/>
        <v/>
      </c>
      <c r="Y315" t="str">
        <f t="shared" si="50"/>
        <v/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 t="str">
        <f t="shared" si="43"/>
        <v/>
      </c>
      <c r="I316" s="318" t="str">
        <f t="shared" si="44"/>
        <v/>
      </c>
      <c r="J316" s="318"/>
      <c r="K316" s="318"/>
      <c r="L316" s="320"/>
      <c r="P316" t="str">
        <f t="shared" si="45"/>
        <v/>
      </c>
      <c r="Q316" t="str">
        <f t="shared" si="46"/>
        <v/>
      </c>
      <c r="R316" t="str">
        <f>IF(P316="","",TEXT(H316,"yyyymm")&amp;"_"&amp;P316&amp;"_"&amp;(COUNTIFS($H$64:$H$500,H316,$P$64:$P$500,P316,$A$64:$A$500,"&gt;"&amp;A316)+COUNTIFS($H$64:H316,H316,$P$64:P316,P316,$A$64:A316,A316)))</f>
        <v/>
      </c>
      <c r="S316" t="str">
        <f t="shared" si="47"/>
        <v/>
      </c>
      <c r="T316" t="str">
        <f t="shared" si="48"/>
        <v/>
      </c>
      <c r="U316" t="str">
        <f t="shared" si="49"/>
        <v/>
      </c>
      <c r="Y316" t="str">
        <f t="shared" si="50"/>
        <v/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 t="str">
        <f t="shared" si="43"/>
        <v/>
      </c>
      <c r="I317" s="318" t="str">
        <f t="shared" si="44"/>
        <v/>
      </c>
      <c r="J317" s="315"/>
      <c r="K317" s="315"/>
      <c r="L317" s="319"/>
      <c r="P317" t="str">
        <f t="shared" si="45"/>
        <v/>
      </c>
      <c r="Q317" t="str">
        <f t="shared" si="46"/>
        <v/>
      </c>
      <c r="R317" t="str">
        <f>IF(P317="","",TEXT(H317,"yyyymm")&amp;"_"&amp;P317&amp;"_"&amp;(COUNTIFS($H$64:$H$500,H317,$P$64:$P$500,P317,$A$64:$A$500,"&gt;"&amp;A317)+COUNTIFS($H$64:H317,H317,$P$64:P317,P317,$A$64:A317,A317)))</f>
        <v/>
      </c>
      <c r="S317" t="str">
        <f t="shared" si="47"/>
        <v/>
      </c>
      <c r="T317" t="str">
        <f t="shared" si="48"/>
        <v/>
      </c>
      <c r="U317" t="str">
        <f t="shared" si="49"/>
        <v/>
      </c>
      <c r="Y317" t="str">
        <f t="shared" si="50"/>
        <v/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 t="str">
        <f t="shared" si="43"/>
        <v/>
      </c>
      <c r="I318" s="318" t="str">
        <f t="shared" si="44"/>
        <v/>
      </c>
      <c r="J318" s="315"/>
      <c r="K318" s="315"/>
      <c r="L318" s="319"/>
      <c r="P318" t="str">
        <f t="shared" si="45"/>
        <v/>
      </c>
      <c r="Q318" t="str">
        <f t="shared" si="46"/>
        <v/>
      </c>
      <c r="R318" t="str">
        <f>IF(P318="","",TEXT(H318,"yyyymm")&amp;"_"&amp;P318&amp;"_"&amp;(COUNTIFS($H$64:$H$500,H318,$P$64:$P$500,P318,$A$64:$A$500,"&gt;"&amp;A318)+COUNTIFS($H$64:H318,H318,$P$64:P318,P318,$A$64:A318,A318)))</f>
        <v/>
      </c>
      <c r="S318" t="str">
        <f t="shared" si="47"/>
        <v/>
      </c>
      <c r="T318" t="str">
        <f t="shared" si="48"/>
        <v/>
      </c>
      <c r="U318" t="str">
        <f t="shared" si="49"/>
        <v/>
      </c>
      <c r="Y318" t="str">
        <f t="shared" si="50"/>
        <v/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 t="str">
        <f t="shared" si="43"/>
        <v/>
      </c>
      <c r="I319" s="318" t="str">
        <f t="shared" si="44"/>
        <v/>
      </c>
      <c r="J319" s="315"/>
      <c r="K319" s="315"/>
      <c r="L319" s="319"/>
      <c r="P319" t="str">
        <f t="shared" si="45"/>
        <v/>
      </c>
      <c r="Q319" t="str">
        <f t="shared" si="46"/>
        <v/>
      </c>
      <c r="R319" t="str">
        <f>IF(P319="","",TEXT(H319,"yyyymm")&amp;"_"&amp;P319&amp;"_"&amp;(COUNTIFS($H$64:$H$500,H319,$P$64:$P$500,P319,$A$64:$A$500,"&gt;"&amp;A319)+COUNTIFS($H$64:H319,H319,$P$64:P319,P319,$A$64:A319,A319)))</f>
        <v/>
      </c>
      <c r="S319" t="str">
        <f t="shared" si="47"/>
        <v/>
      </c>
      <c r="T319" t="str">
        <f t="shared" si="48"/>
        <v/>
      </c>
      <c r="U319" t="str">
        <f t="shared" si="49"/>
        <v/>
      </c>
      <c r="Y319" t="str">
        <f t="shared" si="50"/>
        <v/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 t="str">
        <f t="shared" ref="H320:H383" si="51">IF(A320="","",DATE(YEAR(A320),MONTH(A320),1))</f>
        <v/>
      </c>
      <c r="I320" s="318" t="str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  <v/>
      </c>
      <c r="J320" s="315"/>
      <c r="K320" s="315"/>
      <c r="L320" s="319"/>
      <c r="P320" t="str">
        <f t="shared" ref="P320:P383" si="53">IF(Q320="","",IF(Q320="이체","이체","내역"))</f>
        <v/>
      </c>
      <c r="Q320" t="str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  <v/>
      </c>
      <c r="R320" t="str">
        <f>IF(P320="","",TEXT(H320,"yyyymm")&amp;"_"&amp;P320&amp;"_"&amp;(COUNTIFS($H$64:$H$500,H320,$P$64:$P$500,P320,$A$64:$A$500,"&gt;"&amp;A320)+COUNTIFS($H$64:H320,H320,$P$64:P320,P320,$A$64:A320,A320)))</f>
        <v/>
      </c>
      <c r="S320" t="str">
        <f t="shared" ref="S320:S383" si="55">IF(Q320="","",D320)</f>
        <v/>
      </c>
      <c r="T320" t="str">
        <f t="shared" ref="T320:T383" si="56">IF(Q320="","",IF(Q320="이체",E320,IF(D320=Q320,E320,-E320)))</f>
        <v/>
      </c>
      <c r="U320" t="str">
        <f t="shared" ref="U320:U383" si="57">IF(Q320="","",IF(ISNUMBER(SEARCH("날짜 미기록",G320)),"날짜 미기록",A320))</f>
        <v/>
      </c>
      <c r="Y320" t="str">
        <f t="shared" ref="Y320:Y383" si="58">IF(A320="","",IF(I320="OK",E320,0))</f>
        <v/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 t="str">
        <f t="shared" si="51"/>
        <v/>
      </c>
      <c r="I321" s="318" t="str">
        <f t="shared" si="52"/>
        <v/>
      </c>
      <c r="J321" s="315"/>
      <c r="K321" s="315"/>
      <c r="L321" s="319"/>
      <c r="P321" t="str">
        <f t="shared" si="53"/>
        <v/>
      </c>
      <c r="Q321" t="str">
        <f t="shared" si="54"/>
        <v/>
      </c>
      <c r="R321" t="str">
        <f>IF(P321="","",TEXT(H321,"yyyymm")&amp;"_"&amp;P321&amp;"_"&amp;(COUNTIFS($H$64:$H$500,H321,$P$64:$P$500,P321,$A$64:$A$500,"&gt;"&amp;A321)+COUNTIFS($H$64:H321,H321,$P$64:P321,P321,$A$64:A321,A321)))</f>
        <v/>
      </c>
      <c r="S321" t="str">
        <f t="shared" si="55"/>
        <v/>
      </c>
      <c r="T321" t="str">
        <f t="shared" si="56"/>
        <v/>
      </c>
      <c r="U321" t="str">
        <f t="shared" si="57"/>
        <v/>
      </c>
      <c r="Y321" t="str">
        <f t="shared" si="58"/>
        <v/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 t="str">
        <f t="shared" si="51"/>
        <v/>
      </c>
      <c r="I322" s="318" t="str">
        <f t="shared" si="52"/>
        <v/>
      </c>
      <c r="J322" s="315"/>
      <c r="K322" s="315"/>
      <c r="L322" s="319"/>
      <c r="P322" t="str">
        <f t="shared" si="53"/>
        <v/>
      </c>
      <c r="Q322" t="str">
        <f t="shared" si="54"/>
        <v/>
      </c>
      <c r="R322" t="str">
        <f>IF(P322="","",TEXT(H322,"yyyymm")&amp;"_"&amp;P322&amp;"_"&amp;(COUNTIFS($H$64:$H$500,H322,$P$64:$P$500,P322,$A$64:$A$500,"&gt;"&amp;A322)+COUNTIFS($H$64:H322,H322,$P$64:P322,P322,$A$64:A322,A322)))</f>
        <v/>
      </c>
      <c r="S322" t="str">
        <f t="shared" si="55"/>
        <v/>
      </c>
      <c r="T322" t="str">
        <f t="shared" si="56"/>
        <v/>
      </c>
      <c r="U322" t="str">
        <f t="shared" si="57"/>
        <v/>
      </c>
      <c r="Y322" t="str">
        <f t="shared" si="58"/>
        <v/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 t="str">
        <f t="shared" si="51"/>
        <v/>
      </c>
      <c r="I323" s="318" t="str">
        <f t="shared" si="52"/>
        <v/>
      </c>
      <c r="J323" s="315"/>
      <c r="K323" s="315"/>
      <c r="L323" s="319"/>
      <c r="P323" t="str">
        <f t="shared" si="53"/>
        <v/>
      </c>
      <c r="Q323" t="str">
        <f t="shared" si="54"/>
        <v/>
      </c>
      <c r="R323" t="str">
        <f>IF(P323="","",TEXT(H323,"yyyymm")&amp;"_"&amp;P323&amp;"_"&amp;(COUNTIFS($H$64:$H$500,H323,$P$64:$P$500,P323,$A$64:$A$500,"&gt;"&amp;A323)+COUNTIFS($H$64:H323,H323,$P$64:P323,P323,$A$64:A323,A323)))</f>
        <v/>
      </c>
      <c r="S323" t="str">
        <f t="shared" si="55"/>
        <v/>
      </c>
      <c r="T323" t="str">
        <f t="shared" si="56"/>
        <v/>
      </c>
      <c r="U323" t="str">
        <f t="shared" si="57"/>
        <v/>
      </c>
      <c r="Y323" t="str">
        <f t="shared" si="58"/>
        <v/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 t="str">
        <f t="shared" si="51"/>
        <v/>
      </c>
      <c r="I324" s="318" t="str">
        <f t="shared" si="52"/>
        <v/>
      </c>
      <c r="J324" s="315"/>
      <c r="K324" s="315"/>
      <c r="L324" s="319"/>
      <c r="P324" t="str">
        <f t="shared" si="53"/>
        <v/>
      </c>
      <c r="Q324" t="str">
        <f t="shared" si="54"/>
        <v/>
      </c>
      <c r="R324" t="str">
        <f>IF(P324="","",TEXT(H324,"yyyymm")&amp;"_"&amp;P324&amp;"_"&amp;(COUNTIFS($H$64:$H$500,H324,$P$64:$P$500,P324,$A$64:$A$500,"&gt;"&amp;A324)+COUNTIFS($H$64:H324,H324,$P$64:P324,P324,$A$64:A324,A324)))</f>
        <v/>
      </c>
      <c r="S324" t="str">
        <f t="shared" si="55"/>
        <v/>
      </c>
      <c r="T324" t="str">
        <f t="shared" si="56"/>
        <v/>
      </c>
      <c r="U324" t="str">
        <f t="shared" si="57"/>
        <v/>
      </c>
      <c r="Y324" t="str">
        <f t="shared" si="58"/>
        <v/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 t="str">
        <f t="shared" si="51"/>
        <v/>
      </c>
      <c r="I325" s="318" t="str">
        <f t="shared" si="52"/>
        <v/>
      </c>
      <c r="J325" s="315"/>
      <c r="K325" s="315"/>
      <c r="L325" s="319"/>
      <c r="P325" t="str">
        <f t="shared" si="53"/>
        <v/>
      </c>
      <c r="Q325" t="str">
        <f t="shared" si="54"/>
        <v/>
      </c>
      <c r="R325" t="str">
        <f>IF(P325="","",TEXT(H325,"yyyymm")&amp;"_"&amp;P325&amp;"_"&amp;(COUNTIFS($H$64:$H$500,H325,$P$64:$P$500,P325,$A$64:$A$500,"&gt;"&amp;A325)+COUNTIFS($H$64:H325,H325,$P$64:P325,P325,$A$64:A325,A325)))</f>
        <v/>
      </c>
      <c r="S325" t="str">
        <f t="shared" si="55"/>
        <v/>
      </c>
      <c r="T325" t="str">
        <f t="shared" si="56"/>
        <v/>
      </c>
      <c r="U325" t="str">
        <f t="shared" si="57"/>
        <v/>
      </c>
      <c r="Y325" t="str">
        <f t="shared" si="58"/>
        <v/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 t="str">
        <f t="shared" si="51"/>
        <v/>
      </c>
      <c r="I326" s="318" t="str">
        <f t="shared" si="52"/>
        <v/>
      </c>
      <c r="J326" s="315"/>
      <c r="K326" s="315"/>
      <c r="L326" s="319"/>
      <c r="P326" t="str">
        <f t="shared" si="53"/>
        <v/>
      </c>
      <c r="Q326" t="str">
        <f t="shared" si="54"/>
        <v/>
      </c>
      <c r="R326" t="str">
        <f>IF(P326="","",TEXT(H326,"yyyymm")&amp;"_"&amp;P326&amp;"_"&amp;(COUNTIFS($H$64:$H$500,H326,$P$64:$P$500,P326,$A$64:$A$500,"&gt;"&amp;A326)+COUNTIFS($H$64:H326,H326,$P$64:P326,P326,$A$64:A326,A326)))</f>
        <v/>
      </c>
      <c r="S326" t="str">
        <f t="shared" si="55"/>
        <v/>
      </c>
      <c r="T326" t="str">
        <f t="shared" si="56"/>
        <v/>
      </c>
      <c r="U326" t="str">
        <f t="shared" si="57"/>
        <v/>
      </c>
      <c r="Y326" t="str">
        <f t="shared" si="58"/>
        <v/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 t="str">
        <f t="shared" si="51"/>
        <v/>
      </c>
      <c r="I327" s="318" t="str">
        <f t="shared" si="52"/>
        <v/>
      </c>
      <c r="J327" s="318"/>
      <c r="K327" s="318"/>
      <c r="L327" s="320"/>
      <c r="P327" t="str">
        <f t="shared" si="53"/>
        <v/>
      </c>
      <c r="Q327" t="str">
        <f t="shared" si="54"/>
        <v/>
      </c>
      <c r="R327" t="str">
        <f>IF(P327="","",TEXT(H327,"yyyymm")&amp;"_"&amp;P327&amp;"_"&amp;(COUNTIFS($H$64:$H$500,H327,$P$64:$P$500,P327,$A$64:$A$500,"&gt;"&amp;A327)+COUNTIFS($H$64:H327,H327,$P$64:P327,P327,$A$64:A327,A327)))</f>
        <v/>
      </c>
      <c r="S327" t="str">
        <f t="shared" si="55"/>
        <v/>
      </c>
      <c r="T327" t="str">
        <f t="shared" si="56"/>
        <v/>
      </c>
      <c r="U327" t="str">
        <f t="shared" si="57"/>
        <v/>
      </c>
      <c r="Y327" t="str">
        <f t="shared" si="58"/>
        <v/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 t="str">
        <f t="shared" si="51"/>
        <v/>
      </c>
      <c r="I328" s="318" t="str">
        <f t="shared" si="52"/>
        <v/>
      </c>
      <c r="J328" s="318"/>
      <c r="K328" s="318"/>
      <c r="L328" s="320"/>
      <c r="P328" t="str">
        <f t="shared" si="53"/>
        <v/>
      </c>
      <c r="Q328" t="str">
        <f t="shared" si="54"/>
        <v/>
      </c>
      <c r="R328" t="str">
        <f>IF(P328="","",TEXT(H328,"yyyymm")&amp;"_"&amp;P328&amp;"_"&amp;(COUNTIFS($H$64:$H$500,H328,$P$64:$P$500,P328,$A$64:$A$500,"&gt;"&amp;A328)+COUNTIFS($H$64:H328,H328,$P$64:P328,P328,$A$64:A328,A328)))</f>
        <v/>
      </c>
      <c r="S328" t="str">
        <f t="shared" si="55"/>
        <v/>
      </c>
      <c r="T328" t="str">
        <f t="shared" si="56"/>
        <v/>
      </c>
      <c r="U328" t="str">
        <f t="shared" si="57"/>
        <v/>
      </c>
      <c r="Y328" t="str">
        <f t="shared" si="58"/>
        <v/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 t="str">
        <f t="shared" si="51"/>
        <v/>
      </c>
      <c r="I329" s="318" t="str">
        <f t="shared" si="52"/>
        <v/>
      </c>
      <c r="J329" s="315"/>
      <c r="K329" s="315"/>
      <c r="L329" s="319"/>
      <c r="P329" t="str">
        <f t="shared" si="53"/>
        <v/>
      </c>
      <c r="Q329" t="str">
        <f t="shared" si="54"/>
        <v/>
      </c>
      <c r="R329" t="str">
        <f>IF(P329="","",TEXT(H329,"yyyymm")&amp;"_"&amp;P329&amp;"_"&amp;(COUNTIFS($H$64:$H$500,H329,$P$64:$P$500,P329,$A$64:$A$500,"&gt;"&amp;A329)+COUNTIFS($H$64:H329,H329,$P$64:P329,P329,$A$64:A329,A329)))</f>
        <v/>
      </c>
      <c r="S329" t="str">
        <f t="shared" si="55"/>
        <v/>
      </c>
      <c r="T329" t="str">
        <f t="shared" si="56"/>
        <v/>
      </c>
      <c r="U329" t="str">
        <f t="shared" si="57"/>
        <v/>
      </c>
      <c r="Y329" t="str">
        <f t="shared" si="58"/>
        <v/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 t="str">
        <f t="shared" si="51"/>
        <v/>
      </c>
      <c r="I330" s="318" t="str">
        <f t="shared" si="52"/>
        <v/>
      </c>
      <c r="J330" s="315"/>
      <c r="K330" s="315"/>
      <c r="L330" s="319"/>
      <c r="P330" t="str">
        <f t="shared" si="53"/>
        <v/>
      </c>
      <c r="Q330" t="str">
        <f t="shared" si="54"/>
        <v/>
      </c>
      <c r="R330" t="str">
        <f>IF(P330="","",TEXT(H330,"yyyymm")&amp;"_"&amp;P330&amp;"_"&amp;(COUNTIFS($H$64:$H$500,H330,$P$64:$P$500,P330,$A$64:$A$500,"&gt;"&amp;A330)+COUNTIFS($H$64:H330,H330,$P$64:P330,P330,$A$64:A330,A330)))</f>
        <v/>
      </c>
      <c r="S330" t="str">
        <f t="shared" si="55"/>
        <v/>
      </c>
      <c r="T330" t="str">
        <f t="shared" si="56"/>
        <v/>
      </c>
      <c r="U330" t="str">
        <f t="shared" si="57"/>
        <v/>
      </c>
      <c r="Y330" t="str">
        <f t="shared" si="58"/>
        <v/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 t="str">
        <f t="shared" si="51"/>
        <v/>
      </c>
      <c r="I331" s="318" t="str">
        <f t="shared" si="52"/>
        <v/>
      </c>
      <c r="J331" s="315"/>
      <c r="K331" s="315"/>
      <c r="L331" s="319"/>
      <c r="P331" t="str">
        <f t="shared" si="53"/>
        <v/>
      </c>
      <c r="Q331" t="str">
        <f t="shared" si="54"/>
        <v/>
      </c>
      <c r="R331" t="str">
        <f>IF(P331="","",TEXT(H331,"yyyymm")&amp;"_"&amp;P331&amp;"_"&amp;(COUNTIFS($H$64:$H$500,H331,$P$64:$P$500,P331,$A$64:$A$500,"&gt;"&amp;A331)+COUNTIFS($H$64:H331,H331,$P$64:P331,P331,$A$64:A331,A331)))</f>
        <v/>
      </c>
      <c r="S331" t="str">
        <f t="shared" si="55"/>
        <v/>
      </c>
      <c r="T331" t="str">
        <f t="shared" si="56"/>
        <v/>
      </c>
      <c r="U331" t="str">
        <f t="shared" si="57"/>
        <v/>
      </c>
      <c r="Y331" t="str">
        <f t="shared" si="58"/>
        <v/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 t="str">
        <f t="shared" si="51"/>
        <v/>
      </c>
      <c r="I332" s="318" t="str">
        <f t="shared" si="52"/>
        <v/>
      </c>
      <c r="J332" s="315"/>
      <c r="K332" s="315"/>
      <c r="L332" s="319"/>
      <c r="P332" t="str">
        <f t="shared" si="53"/>
        <v/>
      </c>
      <c r="Q332" t="str">
        <f t="shared" si="54"/>
        <v/>
      </c>
      <c r="R332" t="str">
        <f>IF(P332="","",TEXT(H332,"yyyymm")&amp;"_"&amp;P332&amp;"_"&amp;(COUNTIFS($H$64:$H$500,H332,$P$64:$P$500,P332,$A$64:$A$500,"&gt;"&amp;A332)+COUNTIFS($H$64:H332,H332,$P$64:P332,P332,$A$64:A332,A332)))</f>
        <v/>
      </c>
      <c r="S332" t="str">
        <f t="shared" si="55"/>
        <v/>
      </c>
      <c r="T332" t="str">
        <f t="shared" si="56"/>
        <v/>
      </c>
      <c r="U332" t="str">
        <f t="shared" si="57"/>
        <v/>
      </c>
      <c r="Y332" t="str">
        <f t="shared" si="58"/>
        <v/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 t="str">
        <f t="shared" si="51"/>
        <v/>
      </c>
      <c r="I333" s="318" t="str">
        <f t="shared" si="52"/>
        <v/>
      </c>
      <c r="J333" s="315"/>
      <c r="K333" s="315"/>
      <c r="L333" s="319"/>
      <c r="P333" t="str">
        <f t="shared" si="53"/>
        <v/>
      </c>
      <c r="Q333" t="str">
        <f t="shared" si="54"/>
        <v/>
      </c>
      <c r="R333" t="str">
        <f>IF(P333="","",TEXT(H333,"yyyymm")&amp;"_"&amp;P333&amp;"_"&amp;(COUNTIFS($H$64:$H$500,H333,$P$64:$P$500,P333,$A$64:$A$500,"&gt;"&amp;A333)+COUNTIFS($H$64:H333,H333,$P$64:P333,P333,$A$64:A333,A333)))</f>
        <v/>
      </c>
      <c r="S333" t="str">
        <f t="shared" si="55"/>
        <v/>
      </c>
      <c r="T333" t="str">
        <f t="shared" si="56"/>
        <v/>
      </c>
      <c r="U333" t="str">
        <f t="shared" si="57"/>
        <v/>
      </c>
      <c r="Y333" t="str">
        <f t="shared" si="58"/>
        <v/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 t="str">
        <f t="shared" si="51"/>
        <v/>
      </c>
      <c r="I334" s="318" t="str">
        <f t="shared" si="52"/>
        <v/>
      </c>
      <c r="J334" s="315"/>
      <c r="K334" s="315"/>
      <c r="L334" s="319"/>
      <c r="P334" t="str">
        <f t="shared" si="53"/>
        <v/>
      </c>
      <c r="Q334" t="str">
        <f t="shared" si="54"/>
        <v/>
      </c>
      <c r="R334" t="str">
        <f>IF(P334="","",TEXT(H334,"yyyymm")&amp;"_"&amp;P334&amp;"_"&amp;(COUNTIFS($H$64:$H$500,H334,$P$64:$P$500,P334,$A$64:$A$500,"&gt;"&amp;A334)+COUNTIFS($H$64:H334,H334,$P$64:P334,P334,$A$64:A334,A334)))</f>
        <v/>
      </c>
      <c r="S334" t="str">
        <f t="shared" si="55"/>
        <v/>
      </c>
      <c r="T334" t="str">
        <f t="shared" si="56"/>
        <v/>
      </c>
      <c r="U334" t="str">
        <f t="shared" si="57"/>
        <v/>
      </c>
      <c r="Y334" t="str">
        <f t="shared" si="58"/>
        <v/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 t="str">
        <f t="shared" si="51"/>
        <v/>
      </c>
      <c r="I335" s="318" t="str">
        <f t="shared" si="52"/>
        <v/>
      </c>
      <c r="J335" s="315"/>
      <c r="K335" s="315"/>
      <c r="L335" s="319"/>
      <c r="P335" t="str">
        <f t="shared" si="53"/>
        <v/>
      </c>
      <c r="Q335" t="str">
        <f t="shared" si="54"/>
        <v/>
      </c>
      <c r="R335" t="str">
        <f>IF(P335="","",TEXT(H335,"yyyymm")&amp;"_"&amp;P335&amp;"_"&amp;(COUNTIFS($H$64:$H$500,H335,$P$64:$P$500,P335,$A$64:$A$500,"&gt;"&amp;A335)+COUNTIFS($H$64:H335,H335,$P$64:P335,P335,$A$64:A335,A335)))</f>
        <v/>
      </c>
      <c r="S335" t="str">
        <f t="shared" si="55"/>
        <v/>
      </c>
      <c r="T335" t="str">
        <f t="shared" si="56"/>
        <v/>
      </c>
      <c r="U335" t="str">
        <f t="shared" si="57"/>
        <v/>
      </c>
      <c r="Y335" t="str">
        <f t="shared" si="58"/>
        <v/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 t="str">
        <f t="shared" si="51"/>
        <v/>
      </c>
      <c r="I336" s="318" t="str">
        <f t="shared" si="52"/>
        <v/>
      </c>
      <c r="J336" s="315"/>
      <c r="K336" s="315"/>
      <c r="L336" s="319"/>
      <c r="P336" t="str">
        <f t="shared" si="53"/>
        <v/>
      </c>
      <c r="Q336" t="str">
        <f t="shared" si="54"/>
        <v/>
      </c>
      <c r="R336" t="str">
        <f>IF(P336="","",TEXT(H336,"yyyymm")&amp;"_"&amp;P336&amp;"_"&amp;(COUNTIFS($H$64:$H$500,H336,$P$64:$P$500,P336,$A$64:$A$500,"&gt;"&amp;A336)+COUNTIFS($H$64:H336,H336,$P$64:P336,P336,$A$64:A336,A336)))</f>
        <v/>
      </c>
      <c r="S336" t="str">
        <f t="shared" si="55"/>
        <v/>
      </c>
      <c r="T336" t="str">
        <f t="shared" si="56"/>
        <v/>
      </c>
      <c r="U336" t="str">
        <f t="shared" si="57"/>
        <v/>
      </c>
      <c r="Y336" t="str">
        <f t="shared" si="58"/>
        <v/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 t="str">
        <f t="shared" si="51"/>
        <v/>
      </c>
      <c r="I337" s="318" t="str">
        <f t="shared" si="52"/>
        <v/>
      </c>
      <c r="J337" s="315"/>
      <c r="K337" s="315"/>
      <c r="L337" s="319"/>
      <c r="P337" t="str">
        <f t="shared" si="53"/>
        <v/>
      </c>
      <c r="Q337" t="str">
        <f t="shared" si="54"/>
        <v/>
      </c>
      <c r="R337" t="str">
        <f>IF(P337="","",TEXT(H337,"yyyymm")&amp;"_"&amp;P337&amp;"_"&amp;(COUNTIFS($H$64:$H$500,H337,$P$64:$P$500,P337,$A$64:$A$500,"&gt;"&amp;A337)+COUNTIFS($H$64:H337,H337,$P$64:P337,P337,$A$64:A337,A337)))</f>
        <v/>
      </c>
      <c r="S337" t="str">
        <f t="shared" si="55"/>
        <v/>
      </c>
      <c r="T337" t="str">
        <f t="shared" si="56"/>
        <v/>
      </c>
      <c r="U337" t="str">
        <f t="shared" si="57"/>
        <v/>
      </c>
      <c r="Y337" t="str">
        <f t="shared" si="58"/>
        <v/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 t="str">
        <f t="shared" si="51"/>
        <v/>
      </c>
      <c r="I338" s="318" t="str">
        <f t="shared" si="52"/>
        <v/>
      </c>
      <c r="J338" s="318"/>
      <c r="K338" s="318"/>
      <c r="L338" s="320"/>
      <c r="P338" t="str">
        <f t="shared" si="53"/>
        <v/>
      </c>
      <c r="Q338" t="str">
        <f t="shared" si="54"/>
        <v/>
      </c>
      <c r="R338" t="str">
        <f>IF(P338="","",TEXT(H338,"yyyymm")&amp;"_"&amp;P338&amp;"_"&amp;(COUNTIFS($H$64:$H$500,H338,$P$64:$P$500,P338,$A$64:$A$500,"&gt;"&amp;A338)+COUNTIFS($H$64:H338,H338,$P$64:P338,P338,$A$64:A338,A338)))</f>
        <v/>
      </c>
      <c r="S338" t="str">
        <f t="shared" si="55"/>
        <v/>
      </c>
      <c r="T338" t="str">
        <f t="shared" si="56"/>
        <v/>
      </c>
      <c r="U338" t="str">
        <f t="shared" si="57"/>
        <v/>
      </c>
      <c r="Y338" t="str">
        <f t="shared" si="58"/>
        <v/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 t="str">
        <f t="shared" si="51"/>
        <v/>
      </c>
      <c r="I339" s="318" t="str">
        <f t="shared" si="52"/>
        <v/>
      </c>
      <c r="J339" s="318"/>
      <c r="K339" s="318"/>
      <c r="L339" s="320"/>
      <c r="P339" t="str">
        <f t="shared" si="53"/>
        <v/>
      </c>
      <c r="Q339" t="str">
        <f t="shared" si="54"/>
        <v/>
      </c>
      <c r="R339" t="str">
        <f>IF(P339="","",TEXT(H339,"yyyymm")&amp;"_"&amp;P339&amp;"_"&amp;(COUNTIFS($H$64:$H$500,H339,$P$64:$P$500,P339,$A$64:$A$500,"&gt;"&amp;A339)+COUNTIFS($H$64:H339,H339,$P$64:P339,P339,$A$64:A339,A339)))</f>
        <v/>
      </c>
      <c r="S339" t="str">
        <f t="shared" si="55"/>
        <v/>
      </c>
      <c r="T339" t="str">
        <f t="shared" si="56"/>
        <v/>
      </c>
      <c r="U339" t="str">
        <f t="shared" si="57"/>
        <v/>
      </c>
      <c r="Y339" t="str">
        <f t="shared" si="58"/>
        <v/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 t="str">
        <f t="shared" si="51"/>
        <v/>
      </c>
      <c r="I340" s="318" t="str">
        <f t="shared" si="52"/>
        <v/>
      </c>
      <c r="J340" s="318"/>
      <c r="K340" s="318"/>
      <c r="L340" s="320"/>
      <c r="P340" t="str">
        <f t="shared" si="53"/>
        <v/>
      </c>
      <c r="Q340" t="str">
        <f t="shared" si="54"/>
        <v/>
      </c>
      <c r="R340" t="str">
        <f>IF(P340="","",TEXT(H340,"yyyymm")&amp;"_"&amp;P340&amp;"_"&amp;(COUNTIFS($H$64:$H$500,H340,$P$64:$P$500,P340,$A$64:$A$500,"&gt;"&amp;A340)+COUNTIFS($H$64:H340,H340,$P$64:P340,P340,$A$64:A340,A340)))</f>
        <v/>
      </c>
      <c r="S340" t="str">
        <f t="shared" si="55"/>
        <v/>
      </c>
      <c r="T340" t="str">
        <f t="shared" si="56"/>
        <v/>
      </c>
      <c r="U340" t="str">
        <f t="shared" si="57"/>
        <v/>
      </c>
      <c r="Y340" t="str">
        <f t="shared" si="58"/>
        <v/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 t="str">
        <f t="shared" si="51"/>
        <v/>
      </c>
      <c r="I341" s="318" t="str">
        <f t="shared" si="52"/>
        <v/>
      </c>
      <c r="J341" s="315"/>
      <c r="K341" s="315"/>
      <c r="L341" s="319"/>
      <c r="P341" t="str">
        <f t="shared" si="53"/>
        <v/>
      </c>
      <c r="Q341" t="str">
        <f t="shared" si="54"/>
        <v/>
      </c>
      <c r="R341" t="str">
        <f>IF(P341="","",TEXT(H341,"yyyymm")&amp;"_"&amp;P341&amp;"_"&amp;(COUNTIFS($H$64:$H$500,H341,$P$64:$P$500,P341,$A$64:$A$500,"&gt;"&amp;A341)+COUNTIFS($H$64:H341,H341,$P$64:P341,P341,$A$64:A341,A341)))</f>
        <v/>
      </c>
      <c r="S341" t="str">
        <f t="shared" si="55"/>
        <v/>
      </c>
      <c r="T341" t="str">
        <f t="shared" si="56"/>
        <v/>
      </c>
      <c r="U341" t="str">
        <f t="shared" si="57"/>
        <v/>
      </c>
      <c r="Y341" t="str">
        <f t="shared" si="58"/>
        <v/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 t="str">
        <f t="shared" si="51"/>
        <v/>
      </c>
      <c r="I342" s="318" t="str">
        <f t="shared" si="52"/>
        <v/>
      </c>
      <c r="J342" s="315"/>
      <c r="K342" s="315"/>
      <c r="L342" s="319"/>
      <c r="P342" t="str">
        <f t="shared" si="53"/>
        <v/>
      </c>
      <c r="Q342" t="str">
        <f t="shared" si="54"/>
        <v/>
      </c>
      <c r="R342" t="str">
        <f>IF(P342="","",TEXT(H342,"yyyymm")&amp;"_"&amp;P342&amp;"_"&amp;(COUNTIFS($H$64:$H$500,H342,$P$64:$P$500,P342,$A$64:$A$500,"&gt;"&amp;A342)+COUNTIFS($H$64:H342,H342,$P$64:P342,P342,$A$64:A342,A342)))</f>
        <v/>
      </c>
      <c r="S342" t="str">
        <f t="shared" si="55"/>
        <v/>
      </c>
      <c r="T342" t="str">
        <f t="shared" si="56"/>
        <v/>
      </c>
      <c r="U342" t="str">
        <f t="shared" si="57"/>
        <v/>
      </c>
      <c r="Y342" t="str">
        <f t="shared" si="58"/>
        <v/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 t="str">
        <f t="shared" si="51"/>
        <v/>
      </c>
      <c r="I343" s="318" t="str">
        <f t="shared" si="52"/>
        <v/>
      </c>
      <c r="J343" s="315"/>
      <c r="K343" s="315"/>
      <c r="L343" s="319"/>
      <c r="P343" t="str">
        <f t="shared" si="53"/>
        <v/>
      </c>
      <c r="Q343" t="str">
        <f t="shared" si="54"/>
        <v/>
      </c>
      <c r="R343" t="str">
        <f>IF(P343="","",TEXT(H343,"yyyymm")&amp;"_"&amp;P343&amp;"_"&amp;(COUNTIFS($H$64:$H$500,H343,$P$64:$P$500,P343,$A$64:$A$500,"&gt;"&amp;A343)+COUNTIFS($H$64:H343,H343,$P$64:P343,P343,$A$64:A343,A343)))</f>
        <v/>
      </c>
      <c r="S343" t="str">
        <f t="shared" si="55"/>
        <v/>
      </c>
      <c r="T343" t="str">
        <f t="shared" si="56"/>
        <v/>
      </c>
      <c r="U343" t="str">
        <f t="shared" si="57"/>
        <v/>
      </c>
      <c r="Y343" t="str">
        <f t="shared" si="58"/>
        <v/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 t="str">
        <f t="shared" si="51"/>
        <v/>
      </c>
      <c r="I344" s="318" t="str">
        <f t="shared" si="52"/>
        <v/>
      </c>
      <c r="J344" s="318"/>
      <c r="K344" s="318"/>
      <c r="L344" s="320"/>
      <c r="P344" t="str">
        <f t="shared" si="53"/>
        <v/>
      </c>
      <c r="Q344" t="str">
        <f t="shared" si="54"/>
        <v/>
      </c>
      <c r="R344" t="str">
        <f>IF(P344="","",TEXT(H344,"yyyymm")&amp;"_"&amp;P344&amp;"_"&amp;(COUNTIFS($H$64:$H$500,H344,$P$64:$P$500,P344,$A$64:$A$500,"&gt;"&amp;A344)+COUNTIFS($H$64:H344,H344,$P$64:P344,P344,$A$64:A344,A344)))</f>
        <v/>
      </c>
      <c r="S344" t="str">
        <f t="shared" si="55"/>
        <v/>
      </c>
      <c r="T344" t="str">
        <f t="shared" si="56"/>
        <v/>
      </c>
      <c r="U344" t="str">
        <f t="shared" si="57"/>
        <v/>
      </c>
      <c r="Y344" t="str">
        <f t="shared" si="58"/>
        <v/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 t="str">
        <f t="shared" si="51"/>
        <v/>
      </c>
      <c r="I345" s="318" t="str">
        <f t="shared" si="52"/>
        <v/>
      </c>
      <c r="J345" s="315"/>
      <c r="K345" s="315"/>
      <c r="L345" s="319"/>
      <c r="P345" t="str">
        <f t="shared" si="53"/>
        <v/>
      </c>
      <c r="Q345" t="str">
        <f t="shared" si="54"/>
        <v/>
      </c>
      <c r="R345" t="str">
        <f>IF(P345="","",TEXT(H345,"yyyymm")&amp;"_"&amp;P345&amp;"_"&amp;(COUNTIFS($H$64:$H$500,H345,$P$64:$P$500,P345,$A$64:$A$500,"&gt;"&amp;A345)+COUNTIFS($H$64:H345,H345,$P$64:P345,P345,$A$64:A345,A345)))</f>
        <v/>
      </c>
      <c r="S345" t="str">
        <f t="shared" si="55"/>
        <v/>
      </c>
      <c r="T345" t="str">
        <f t="shared" si="56"/>
        <v/>
      </c>
      <c r="U345" t="str">
        <f t="shared" si="57"/>
        <v/>
      </c>
      <c r="Y345" t="str">
        <f t="shared" si="58"/>
        <v/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 t="str">
        <f t="shared" si="51"/>
        <v/>
      </c>
      <c r="I346" s="318" t="str">
        <f t="shared" si="52"/>
        <v/>
      </c>
      <c r="J346" s="315"/>
      <c r="K346" s="315"/>
      <c r="L346" s="319"/>
      <c r="P346" t="str">
        <f t="shared" si="53"/>
        <v/>
      </c>
      <c r="Q346" t="str">
        <f t="shared" si="54"/>
        <v/>
      </c>
      <c r="R346" t="str">
        <f>IF(P346="","",TEXT(H346,"yyyymm")&amp;"_"&amp;P346&amp;"_"&amp;(COUNTIFS($H$64:$H$500,H346,$P$64:$P$500,P346,$A$64:$A$500,"&gt;"&amp;A346)+COUNTIFS($H$64:H346,H346,$P$64:P346,P346,$A$64:A346,A346)))</f>
        <v/>
      </c>
      <c r="S346" t="str">
        <f t="shared" si="55"/>
        <v/>
      </c>
      <c r="T346" t="str">
        <f t="shared" si="56"/>
        <v/>
      </c>
      <c r="U346" t="str">
        <f t="shared" si="57"/>
        <v/>
      </c>
      <c r="Y346" t="str">
        <f t="shared" si="58"/>
        <v/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 t="str">
        <f t="shared" si="51"/>
        <v/>
      </c>
      <c r="I347" s="318" t="str">
        <f t="shared" si="52"/>
        <v/>
      </c>
      <c r="J347" s="318"/>
      <c r="K347" s="318"/>
      <c r="L347" s="320"/>
      <c r="P347" t="str">
        <f t="shared" si="53"/>
        <v/>
      </c>
      <c r="Q347" t="str">
        <f t="shared" si="54"/>
        <v/>
      </c>
      <c r="R347" t="str">
        <f>IF(P347="","",TEXT(H347,"yyyymm")&amp;"_"&amp;P347&amp;"_"&amp;(COUNTIFS($H$64:$H$500,H347,$P$64:$P$500,P347,$A$64:$A$500,"&gt;"&amp;A347)+COUNTIFS($H$64:H347,H347,$P$64:P347,P347,$A$64:A347,A347)))</f>
        <v/>
      </c>
      <c r="S347" t="str">
        <f t="shared" si="55"/>
        <v/>
      </c>
      <c r="T347" t="str">
        <f t="shared" si="56"/>
        <v/>
      </c>
      <c r="U347" t="str">
        <f t="shared" si="57"/>
        <v/>
      </c>
      <c r="Y347" t="str">
        <f t="shared" si="58"/>
        <v/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 t="str">
        <f t="shared" si="51"/>
        <v/>
      </c>
      <c r="I348" s="318" t="str">
        <f t="shared" si="52"/>
        <v/>
      </c>
      <c r="J348" s="315"/>
      <c r="K348" s="315"/>
      <c r="L348" s="319"/>
      <c r="P348" t="str">
        <f t="shared" si="53"/>
        <v/>
      </c>
      <c r="Q348" t="str">
        <f t="shared" si="54"/>
        <v/>
      </c>
      <c r="R348" t="str">
        <f>IF(P348="","",TEXT(H348,"yyyymm")&amp;"_"&amp;P348&amp;"_"&amp;(COUNTIFS($H$64:$H$500,H348,$P$64:$P$500,P348,$A$64:$A$500,"&gt;"&amp;A348)+COUNTIFS($H$64:H348,H348,$P$64:P348,P348,$A$64:A348,A348)))</f>
        <v/>
      </c>
      <c r="S348" t="str">
        <f t="shared" si="55"/>
        <v/>
      </c>
      <c r="T348" t="str">
        <f t="shared" si="56"/>
        <v/>
      </c>
      <c r="U348" t="str">
        <f t="shared" si="57"/>
        <v/>
      </c>
      <c r="Y348" t="str">
        <f t="shared" si="58"/>
        <v/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 t="str">
        <f t="shared" si="51"/>
        <v/>
      </c>
      <c r="I349" s="318" t="str">
        <f t="shared" si="52"/>
        <v/>
      </c>
      <c r="J349" s="315"/>
      <c r="K349" s="315"/>
      <c r="L349" s="319"/>
      <c r="P349" t="str">
        <f t="shared" si="53"/>
        <v/>
      </c>
      <c r="Q349" t="str">
        <f t="shared" si="54"/>
        <v/>
      </c>
      <c r="R349" t="str">
        <f>IF(P349="","",TEXT(H349,"yyyymm")&amp;"_"&amp;P349&amp;"_"&amp;(COUNTIFS($H$64:$H$500,H349,$P$64:$P$500,P349,$A$64:$A$500,"&gt;"&amp;A349)+COUNTIFS($H$64:H349,H349,$P$64:P349,P349,$A$64:A349,A349)))</f>
        <v/>
      </c>
      <c r="S349" t="str">
        <f t="shared" si="55"/>
        <v/>
      </c>
      <c r="T349" t="str">
        <f t="shared" si="56"/>
        <v/>
      </c>
      <c r="U349" t="str">
        <f t="shared" si="57"/>
        <v/>
      </c>
      <c r="Y349" t="str">
        <f t="shared" si="58"/>
        <v/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 t="str">
        <f t="shared" si="51"/>
        <v/>
      </c>
      <c r="I350" s="318" t="str">
        <f t="shared" si="52"/>
        <v/>
      </c>
      <c r="J350" s="315"/>
      <c r="K350" s="315"/>
      <c r="L350" s="319"/>
      <c r="P350" t="str">
        <f t="shared" si="53"/>
        <v/>
      </c>
      <c r="Q350" t="str">
        <f t="shared" si="54"/>
        <v/>
      </c>
      <c r="R350" t="str">
        <f>IF(P350="","",TEXT(H350,"yyyymm")&amp;"_"&amp;P350&amp;"_"&amp;(COUNTIFS($H$64:$H$500,H350,$P$64:$P$500,P350,$A$64:$A$500,"&gt;"&amp;A350)+COUNTIFS($H$64:H350,H350,$P$64:P350,P350,$A$64:A350,A350)))</f>
        <v/>
      </c>
      <c r="S350" t="str">
        <f t="shared" si="55"/>
        <v/>
      </c>
      <c r="T350" t="str">
        <f t="shared" si="56"/>
        <v/>
      </c>
      <c r="U350" t="str">
        <f t="shared" si="57"/>
        <v/>
      </c>
      <c r="Y350" t="str">
        <f t="shared" si="58"/>
        <v/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 t="str">
        <f t="shared" si="51"/>
        <v/>
      </c>
      <c r="I351" s="318" t="str">
        <f t="shared" si="52"/>
        <v/>
      </c>
      <c r="J351" s="315"/>
      <c r="K351" s="315"/>
      <c r="L351" s="319"/>
      <c r="P351" t="str">
        <f t="shared" si="53"/>
        <v/>
      </c>
      <c r="Q351" t="str">
        <f t="shared" si="54"/>
        <v/>
      </c>
      <c r="R351" t="str">
        <f>IF(P351="","",TEXT(H351,"yyyymm")&amp;"_"&amp;P351&amp;"_"&amp;(COUNTIFS($H$64:$H$500,H351,$P$64:$P$500,P351,$A$64:$A$500,"&gt;"&amp;A351)+COUNTIFS($H$64:H351,H351,$P$64:P351,P351,$A$64:A351,A351)))</f>
        <v/>
      </c>
      <c r="S351" t="str">
        <f t="shared" si="55"/>
        <v/>
      </c>
      <c r="T351" t="str">
        <f t="shared" si="56"/>
        <v/>
      </c>
      <c r="U351" t="str">
        <f t="shared" si="57"/>
        <v/>
      </c>
      <c r="Y351" t="str">
        <f t="shared" si="58"/>
        <v/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 t="str">
        <f t="shared" si="51"/>
        <v/>
      </c>
      <c r="I352" s="318" t="str">
        <f t="shared" si="52"/>
        <v/>
      </c>
      <c r="J352" s="318"/>
      <c r="K352" s="318"/>
      <c r="L352" s="320"/>
      <c r="P352" t="str">
        <f t="shared" si="53"/>
        <v/>
      </c>
      <c r="Q352" t="str">
        <f t="shared" si="54"/>
        <v/>
      </c>
      <c r="R352" t="str">
        <f>IF(P352="","",TEXT(H352,"yyyymm")&amp;"_"&amp;P352&amp;"_"&amp;(COUNTIFS($H$64:$H$500,H352,$P$64:$P$500,P352,$A$64:$A$500,"&gt;"&amp;A352)+COUNTIFS($H$64:H352,H352,$P$64:P352,P352,$A$64:A352,A352)))</f>
        <v/>
      </c>
      <c r="S352" t="str">
        <f t="shared" si="55"/>
        <v/>
      </c>
      <c r="T352" t="str">
        <f t="shared" si="56"/>
        <v/>
      </c>
      <c r="U352" t="str">
        <f t="shared" si="57"/>
        <v/>
      </c>
      <c r="Y352" t="str">
        <f t="shared" si="58"/>
        <v/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 t="str">
        <f t="shared" si="51"/>
        <v/>
      </c>
      <c r="I353" s="318" t="str">
        <f t="shared" si="52"/>
        <v/>
      </c>
      <c r="J353" s="318"/>
      <c r="K353" s="318"/>
      <c r="L353" s="320"/>
      <c r="P353" t="str">
        <f t="shared" si="53"/>
        <v/>
      </c>
      <c r="Q353" t="str">
        <f t="shared" si="54"/>
        <v/>
      </c>
      <c r="R353" t="str">
        <f>IF(P353="","",TEXT(H353,"yyyymm")&amp;"_"&amp;P353&amp;"_"&amp;(COUNTIFS($H$64:$H$500,H353,$P$64:$P$500,P353,$A$64:$A$500,"&gt;"&amp;A353)+COUNTIFS($H$64:H353,H353,$P$64:P353,P353,$A$64:A353,A353)))</f>
        <v/>
      </c>
      <c r="S353" t="str">
        <f t="shared" si="55"/>
        <v/>
      </c>
      <c r="T353" t="str">
        <f t="shared" si="56"/>
        <v/>
      </c>
      <c r="U353" t="str">
        <f t="shared" si="57"/>
        <v/>
      </c>
      <c r="Y353" t="str">
        <f t="shared" si="58"/>
        <v/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 t="str">
        <f t="shared" si="51"/>
        <v/>
      </c>
      <c r="I354" s="318" t="str">
        <f t="shared" si="52"/>
        <v/>
      </c>
      <c r="J354" s="318"/>
      <c r="K354" s="318"/>
      <c r="L354" s="320"/>
      <c r="P354" t="str">
        <f t="shared" si="53"/>
        <v/>
      </c>
      <c r="Q354" t="str">
        <f t="shared" si="54"/>
        <v/>
      </c>
      <c r="R354" t="str">
        <f>IF(P354="","",TEXT(H354,"yyyymm")&amp;"_"&amp;P354&amp;"_"&amp;(COUNTIFS($H$64:$H$500,H354,$P$64:$P$500,P354,$A$64:$A$500,"&gt;"&amp;A354)+COUNTIFS($H$64:H354,H354,$P$64:P354,P354,$A$64:A354,A354)))</f>
        <v/>
      </c>
      <c r="S354" t="str">
        <f t="shared" si="55"/>
        <v/>
      </c>
      <c r="T354" t="str">
        <f t="shared" si="56"/>
        <v/>
      </c>
      <c r="U354" t="str">
        <f t="shared" si="57"/>
        <v/>
      </c>
      <c r="Y354" t="str">
        <f t="shared" si="58"/>
        <v/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 t="str">
        <f t="shared" si="51"/>
        <v/>
      </c>
      <c r="I355" s="318" t="str">
        <f t="shared" si="52"/>
        <v/>
      </c>
      <c r="J355" s="318"/>
      <c r="K355" s="318"/>
      <c r="L355" s="320"/>
      <c r="P355" t="str">
        <f t="shared" si="53"/>
        <v/>
      </c>
      <c r="Q355" t="str">
        <f t="shared" si="54"/>
        <v/>
      </c>
      <c r="R355" t="str">
        <f>IF(P355="","",TEXT(H355,"yyyymm")&amp;"_"&amp;P355&amp;"_"&amp;(COUNTIFS($H$64:$H$500,H355,$P$64:$P$500,P355,$A$64:$A$500,"&gt;"&amp;A355)+COUNTIFS($H$64:H355,H355,$P$64:P355,P355,$A$64:A355,A355)))</f>
        <v/>
      </c>
      <c r="S355" t="str">
        <f t="shared" si="55"/>
        <v/>
      </c>
      <c r="T355" t="str">
        <f t="shared" si="56"/>
        <v/>
      </c>
      <c r="U355" t="str">
        <f t="shared" si="57"/>
        <v/>
      </c>
      <c r="Y355" t="str">
        <f t="shared" si="58"/>
        <v/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 t="str">
        <f t="shared" si="51"/>
        <v/>
      </c>
      <c r="I356" s="318" t="str">
        <f t="shared" si="52"/>
        <v/>
      </c>
      <c r="J356" s="318"/>
      <c r="K356" s="318"/>
      <c r="L356" s="320"/>
      <c r="P356" t="str">
        <f t="shared" si="53"/>
        <v/>
      </c>
      <c r="Q356" t="str">
        <f t="shared" si="54"/>
        <v/>
      </c>
      <c r="R356" t="str">
        <f>IF(P356="","",TEXT(H356,"yyyymm")&amp;"_"&amp;P356&amp;"_"&amp;(COUNTIFS($H$64:$H$500,H356,$P$64:$P$500,P356,$A$64:$A$500,"&gt;"&amp;A356)+COUNTIFS($H$64:H356,H356,$P$64:P356,P356,$A$64:A356,A356)))</f>
        <v/>
      </c>
      <c r="S356" t="str">
        <f t="shared" si="55"/>
        <v/>
      </c>
      <c r="T356" t="str">
        <f t="shared" si="56"/>
        <v/>
      </c>
      <c r="U356" t="str">
        <f t="shared" si="57"/>
        <v/>
      </c>
      <c r="Y356" t="str">
        <f t="shared" si="58"/>
        <v/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 t="str">
        <f t="shared" si="51"/>
        <v/>
      </c>
      <c r="I357" s="318" t="str">
        <f t="shared" si="52"/>
        <v/>
      </c>
      <c r="J357" s="318"/>
      <c r="K357" s="318"/>
      <c r="L357" s="320"/>
      <c r="P357" t="str">
        <f t="shared" si="53"/>
        <v/>
      </c>
      <c r="Q357" t="str">
        <f t="shared" si="54"/>
        <v/>
      </c>
      <c r="R357" t="str">
        <f>IF(P357="","",TEXT(H357,"yyyymm")&amp;"_"&amp;P357&amp;"_"&amp;(COUNTIFS($H$64:$H$500,H357,$P$64:$P$500,P357,$A$64:$A$500,"&gt;"&amp;A357)+COUNTIFS($H$64:H357,H357,$P$64:P357,P357,$A$64:A357,A357)))</f>
        <v/>
      </c>
      <c r="S357" t="str">
        <f t="shared" si="55"/>
        <v/>
      </c>
      <c r="T357" t="str">
        <f t="shared" si="56"/>
        <v/>
      </c>
      <c r="U357" t="str">
        <f t="shared" si="57"/>
        <v/>
      </c>
      <c r="Y357" t="str">
        <f t="shared" si="58"/>
        <v/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 t="str">
        <f t="shared" si="51"/>
        <v/>
      </c>
      <c r="I358" s="315" t="str">
        <f t="shared" si="52"/>
        <v/>
      </c>
      <c r="J358" s="315"/>
      <c r="K358" s="315"/>
      <c r="L358" s="319"/>
      <c r="P358" t="str">
        <f t="shared" si="53"/>
        <v/>
      </c>
      <c r="Q358" t="str">
        <f t="shared" si="54"/>
        <v/>
      </c>
      <c r="R358" t="str">
        <f>IF(P358="","",TEXT(H358,"yyyymm")&amp;"_"&amp;P358&amp;"_"&amp;(COUNTIFS($H$64:$H$500,H358,$P$64:$P$500,P358,$A$64:$A$500,"&gt;"&amp;A358)+COUNTIFS($H$64:H358,H358,$P$64:P358,P358,$A$64:A358,A358)))</f>
        <v/>
      </c>
      <c r="S358" t="str">
        <f t="shared" si="55"/>
        <v/>
      </c>
      <c r="T358" t="str">
        <f t="shared" si="56"/>
        <v/>
      </c>
      <c r="U358" t="str">
        <f t="shared" si="57"/>
        <v/>
      </c>
      <c r="Y358" t="str">
        <f t="shared" si="58"/>
        <v/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 t="str">
        <f t="shared" si="51"/>
        <v/>
      </c>
      <c r="I359" s="318" t="str">
        <f t="shared" si="52"/>
        <v/>
      </c>
      <c r="J359" s="318"/>
      <c r="K359" s="318"/>
      <c r="L359" s="320"/>
      <c r="P359" t="str">
        <f t="shared" si="53"/>
        <v/>
      </c>
      <c r="Q359" t="str">
        <f t="shared" si="54"/>
        <v/>
      </c>
      <c r="R359" t="str">
        <f>IF(P359="","",TEXT(H359,"yyyymm")&amp;"_"&amp;P359&amp;"_"&amp;(COUNTIFS($H$64:$H$500,H359,$P$64:$P$500,P359,$A$64:$A$500,"&gt;"&amp;A359)+COUNTIFS($H$64:H359,H359,$P$64:P359,P359,$A$64:A359,A359)))</f>
        <v/>
      </c>
      <c r="S359" t="str">
        <f t="shared" si="55"/>
        <v/>
      </c>
      <c r="T359" t="str">
        <f t="shared" si="56"/>
        <v/>
      </c>
      <c r="U359" t="str">
        <f t="shared" si="57"/>
        <v/>
      </c>
      <c r="Y359" t="str">
        <f t="shared" si="58"/>
        <v/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 t="str">
        <f t="shared" si="51"/>
        <v/>
      </c>
      <c r="I360" s="318" t="str">
        <f t="shared" si="52"/>
        <v/>
      </c>
      <c r="J360" s="318"/>
      <c r="K360" s="318"/>
      <c r="L360" s="320"/>
      <c r="P360" t="str">
        <f t="shared" si="53"/>
        <v/>
      </c>
      <c r="Q360" t="str">
        <f t="shared" si="54"/>
        <v/>
      </c>
      <c r="R360" t="str">
        <f>IF(P360="","",TEXT(H360,"yyyymm")&amp;"_"&amp;P360&amp;"_"&amp;(COUNTIFS($H$64:$H$500,H360,$P$64:$P$500,P360,$A$64:$A$500,"&gt;"&amp;A360)+COUNTIFS($H$64:H360,H360,$P$64:P360,P360,$A$64:A360,A360)))</f>
        <v/>
      </c>
      <c r="S360" t="str">
        <f t="shared" si="55"/>
        <v/>
      </c>
      <c r="T360" t="str">
        <f t="shared" si="56"/>
        <v/>
      </c>
      <c r="U360" t="str">
        <f t="shared" si="57"/>
        <v/>
      </c>
      <c r="Y360" t="str">
        <f t="shared" si="58"/>
        <v/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 t="str">
        <f t="shared" si="51"/>
        <v/>
      </c>
      <c r="I361" s="318" t="str">
        <f t="shared" si="52"/>
        <v/>
      </c>
      <c r="J361" s="318"/>
      <c r="K361" s="318"/>
      <c r="L361" s="320"/>
      <c r="P361" t="str">
        <f t="shared" si="53"/>
        <v/>
      </c>
      <c r="Q361" t="str">
        <f t="shared" si="54"/>
        <v/>
      </c>
      <c r="R361" t="str">
        <f>IF(P361="","",TEXT(H361,"yyyymm")&amp;"_"&amp;P361&amp;"_"&amp;(COUNTIFS($H$64:$H$500,H361,$P$64:$P$500,P361,$A$64:$A$500,"&gt;"&amp;A361)+COUNTIFS($H$64:H361,H361,$P$64:P361,P361,$A$64:A361,A361)))</f>
        <v/>
      </c>
      <c r="S361" t="str">
        <f t="shared" si="55"/>
        <v/>
      </c>
      <c r="T361" t="str">
        <f t="shared" si="56"/>
        <v/>
      </c>
      <c r="U361" t="str">
        <f t="shared" si="57"/>
        <v/>
      </c>
      <c r="Y361" t="str">
        <f t="shared" si="58"/>
        <v/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 t="str">
        <f t="shared" si="51"/>
        <v/>
      </c>
      <c r="I362" s="318" t="str">
        <f t="shared" si="52"/>
        <v/>
      </c>
      <c r="J362" s="318"/>
      <c r="K362" s="318"/>
      <c r="L362" s="318"/>
      <c r="P362" t="str">
        <f t="shared" si="53"/>
        <v/>
      </c>
      <c r="Q362" t="str">
        <f t="shared" si="54"/>
        <v/>
      </c>
      <c r="R362" t="str">
        <f>IF(P362="","",TEXT(H362,"yyyymm")&amp;"_"&amp;P362&amp;"_"&amp;(COUNTIFS($H$64:$H$500,H362,$P$64:$P$500,P362,$A$64:$A$500,"&gt;"&amp;A362)+COUNTIFS($H$64:H362,H362,$P$64:P362,P362,$A$64:A362,A362)))</f>
        <v/>
      </c>
      <c r="S362" t="str">
        <f t="shared" si="55"/>
        <v/>
      </c>
      <c r="T362" t="str">
        <f t="shared" si="56"/>
        <v/>
      </c>
      <c r="U362" t="str">
        <f t="shared" si="57"/>
        <v/>
      </c>
      <c r="Y362" t="str">
        <f t="shared" si="58"/>
        <v/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 t="str">
        <f t="shared" si="51"/>
        <v/>
      </c>
      <c r="I363" s="318" t="str">
        <f t="shared" si="52"/>
        <v/>
      </c>
      <c r="J363" s="318"/>
      <c r="K363" s="318"/>
      <c r="L363" s="318"/>
      <c r="P363" t="str">
        <f t="shared" si="53"/>
        <v/>
      </c>
      <c r="Q363" t="str">
        <f t="shared" si="54"/>
        <v/>
      </c>
      <c r="R363" t="str">
        <f>IF(P363="","",TEXT(H363,"yyyymm")&amp;"_"&amp;P363&amp;"_"&amp;(COUNTIFS($H$64:$H$500,H363,$P$64:$P$500,P363,$A$64:$A$500,"&gt;"&amp;A363)+COUNTIFS($H$64:H363,H363,$P$64:P363,P363,$A$64:A363,A363)))</f>
        <v/>
      </c>
      <c r="S363" t="str">
        <f t="shared" si="55"/>
        <v/>
      </c>
      <c r="T363" t="str">
        <f t="shared" si="56"/>
        <v/>
      </c>
      <c r="U363" t="str">
        <f t="shared" si="57"/>
        <v/>
      </c>
      <c r="Y363" t="str">
        <f t="shared" si="58"/>
        <v/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 t="str">
        <f t="shared" si="51"/>
        <v/>
      </c>
      <c r="I364" s="318" t="str">
        <f t="shared" si="52"/>
        <v/>
      </c>
      <c r="J364" s="318"/>
      <c r="K364" s="318"/>
      <c r="L364" s="318"/>
      <c r="P364" t="str">
        <f t="shared" si="53"/>
        <v/>
      </c>
      <c r="Q364" t="str">
        <f t="shared" si="54"/>
        <v/>
      </c>
      <c r="R364" t="str">
        <f>IF(P364="","",TEXT(H364,"yyyymm")&amp;"_"&amp;P364&amp;"_"&amp;(COUNTIFS($H$64:$H$500,H364,$P$64:$P$500,P364,$A$64:$A$500,"&gt;"&amp;A364)+COUNTIFS($H$64:H364,H364,$P$64:P364,P364,$A$64:A364,A364)))</f>
        <v/>
      </c>
      <c r="S364" t="str">
        <f t="shared" si="55"/>
        <v/>
      </c>
      <c r="T364" t="str">
        <f t="shared" si="56"/>
        <v/>
      </c>
      <c r="U364" t="str">
        <f t="shared" si="57"/>
        <v/>
      </c>
      <c r="Y364" t="str">
        <f t="shared" si="58"/>
        <v/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 t="str">
        <f t="shared" si="51"/>
        <v/>
      </c>
      <c r="I365" s="318" t="str">
        <f t="shared" si="52"/>
        <v/>
      </c>
      <c r="J365" s="318"/>
      <c r="K365" s="318"/>
      <c r="L365" s="318"/>
      <c r="P365" t="str">
        <f t="shared" si="53"/>
        <v/>
      </c>
      <c r="Q365" t="str">
        <f t="shared" si="54"/>
        <v/>
      </c>
      <c r="R365" t="str">
        <f>IF(P365="","",TEXT(H365,"yyyymm")&amp;"_"&amp;P365&amp;"_"&amp;(COUNTIFS($H$64:$H$500,H365,$P$64:$P$500,P365,$A$64:$A$500,"&gt;"&amp;A365)+COUNTIFS($H$64:H365,H365,$P$64:P365,P365,$A$64:A365,A365)))</f>
        <v/>
      </c>
      <c r="S365" t="str">
        <f t="shared" si="55"/>
        <v/>
      </c>
      <c r="T365" t="str">
        <f t="shared" si="56"/>
        <v/>
      </c>
      <c r="U365" t="str">
        <f t="shared" si="57"/>
        <v/>
      </c>
      <c r="Y365" t="str">
        <f t="shared" si="58"/>
        <v/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 t="str">
        <f t="shared" si="51"/>
        <v/>
      </c>
      <c r="I366" s="318" t="str">
        <f t="shared" si="52"/>
        <v/>
      </c>
      <c r="J366" s="318"/>
      <c r="K366" s="318"/>
      <c r="L366" s="318"/>
      <c r="P366" t="str">
        <f t="shared" si="53"/>
        <v/>
      </c>
      <c r="Q366" t="str">
        <f t="shared" si="54"/>
        <v/>
      </c>
      <c r="R366" t="str">
        <f>IF(P366="","",TEXT(H366,"yyyymm")&amp;"_"&amp;P366&amp;"_"&amp;(COUNTIFS($H$64:$H$500,H366,$P$64:$P$500,P366,$A$64:$A$500,"&gt;"&amp;A366)+COUNTIFS($H$64:H366,H366,$P$64:P366,P366,$A$64:A366,A366)))</f>
        <v/>
      </c>
      <c r="S366" t="str">
        <f t="shared" si="55"/>
        <v/>
      </c>
      <c r="T366" t="str">
        <f t="shared" si="56"/>
        <v/>
      </c>
      <c r="U366" t="str">
        <f t="shared" si="57"/>
        <v/>
      </c>
      <c r="Y366" t="str">
        <f t="shared" si="58"/>
        <v/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 t="str">
        <f t="shared" si="51"/>
        <v/>
      </c>
      <c r="I367" s="318" t="str">
        <f t="shared" si="52"/>
        <v/>
      </c>
      <c r="J367" s="318"/>
      <c r="K367" s="318"/>
      <c r="L367" s="318"/>
      <c r="P367" t="str">
        <f t="shared" si="53"/>
        <v/>
      </c>
      <c r="Q367" t="str">
        <f t="shared" si="54"/>
        <v/>
      </c>
      <c r="R367" t="str">
        <f>IF(P367="","",TEXT(H367,"yyyymm")&amp;"_"&amp;P367&amp;"_"&amp;(COUNTIFS($H$64:$H$500,H367,$P$64:$P$500,P367,$A$64:$A$500,"&gt;"&amp;A367)+COUNTIFS($H$64:H367,H367,$P$64:P367,P367,$A$64:A367,A367)))</f>
        <v/>
      </c>
      <c r="S367" t="str">
        <f t="shared" si="55"/>
        <v/>
      </c>
      <c r="T367" t="str">
        <f t="shared" si="56"/>
        <v/>
      </c>
      <c r="U367" t="str">
        <f t="shared" si="57"/>
        <v/>
      </c>
      <c r="Y367" t="str">
        <f t="shared" si="58"/>
        <v/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 t="str">
        <f t="shared" si="51"/>
        <v/>
      </c>
      <c r="I368" s="318" t="str">
        <f t="shared" si="52"/>
        <v/>
      </c>
      <c r="J368" s="318"/>
      <c r="K368" s="318"/>
      <c r="L368" s="318"/>
      <c r="P368" t="str">
        <f t="shared" si="53"/>
        <v/>
      </c>
      <c r="Q368" t="str">
        <f t="shared" si="54"/>
        <v/>
      </c>
      <c r="R368" t="str">
        <f>IF(P368="","",TEXT(H368,"yyyymm")&amp;"_"&amp;P368&amp;"_"&amp;(COUNTIFS($H$64:$H$500,H368,$P$64:$P$500,P368,$A$64:$A$500,"&gt;"&amp;A368)+COUNTIFS($H$64:H368,H368,$P$64:P368,P368,$A$64:A368,A368)))</f>
        <v/>
      </c>
      <c r="S368" t="str">
        <f t="shared" si="55"/>
        <v/>
      </c>
      <c r="T368" t="str">
        <f t="shared" si="56"/>
        <v/>
      </c>
      <c r="U368" t="str">
        <f t="shared" si="57"/>
        <v/>
      </c>
      <c r="Y368" t="str">
        <f t="shared" si="58"/>
        <v/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 t="str">
        <f t="shared" si="51"/>
        <v/>
      </c>
      <c r="I369" s="318" t="str">
        <f t="shared" si="52"/>
        <v/>
      </c>
      <c r="J369" s="318"/>
      <c r="K369" s="318"/>
      <c r="L369" s="318"/>
      <c r="P369" t="str">
        <f t="shared" si="53"/>
        <v/>
      </c>
      <c r="Q369" t="str">
        <f t="shared" si="54"/>
        <v/>
      </c>
      <c r="R369" t="str">
        <f>IF(P369="","",TEXT(H369,"yyyymm")&amp;"_"&amp;P369&amp;"_"&amp;(COUNTIFS($H$64:$H$500,H369,$P$64:$P$500,P369,$A$64:$A$500,"&gt;"&amp;A369)+COUNTIFS($H$64:H369,H369,$P$64:P369,P369,$A$64:A369,A369)))</f>
        <v/>
      </c>
      <c r="S369" t="str">
        <f t="shared" si="55"/>
        <v/>
      </c>
      <c r="T369" t="str">
        <f t="shared" si="56"/>
        <v/>
      </c>
      <c r="U369" t="str">
        <f t="shared" si="57"/>
        <v/>
      </c>
      <c r="Y369" t="str">
        <f t="shared" si="58"/>
        <v/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 t="str">
        <f t="shared" si="51"/>
        <v/>
      </c>
      <c r="I370" s="318" t="str">
        <f t="shared" si="52"/>
        <v/>
      </c>
      <c r="J370" s="318"/>
      <c r="K370" s="318"/>
      <c r="L370" s="318"/>
      <c r="P370" t="str">
        <f t="shared" si="53"/>
        <v/>
      </c>
      <c r="Q370" t="str">
        <f t="shared" si="54"/>
        <v/>
      </c>
      <c r="R370" t="str">
        <f>IF(P370="","",TEXT(H370,"yyyymm")&amp;"_"&amp;P370&amp;"_"&amp;(COUNTIFS($H$64:$H$500,H370,$P$64:$P$500,P370,$A$64:$A$500,"&gt;"&amp;A370)+COUNTIFS($H$64:H370,H370,$P$64:P370,P370,$A$64:A370,A370)))</f>
        <v/>
      </c>
      <c r="S370" t="str">
        <f t="shared" si="55"/>
        <v/>
      </c>
      <c r="T370" t="str">
        <f t="shared" si="56"/>
        <v/>
      </c>
      <c r="U370" t="str">
        <f t="shared" si="57"/>
        <v/>
      </c>
      <c r="Y370" t="str">
        <f t="shared" si="58"/>
        <v/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 t="str">
        <f t="shared" si="51"/>
        <v/>
      </c>
      <c r="I371" s="318" t="str">
        <f t="shared" si="52"/>
        <v/>
      </c>
      <c r="J371" s="318"/>
      <c r="K371" s="318"/>
      <c r="L371" s="318"/>
      <c r="P371" t="str">
        <f t="shared" si="53"/>
        <v/>
      </c>
      <c r="Q371" t="str">
        <f t="shared" si="54"/>
        <v/>
      </c>
      <c r="R371" t="str">
        <f>IF(P371="","",TEXT(H371,"yyyymm")&amp;"_"&amp;P371&amp;"_"&amp;(COUNTIFS($H$64:$H$500,H371,$P$64:$P$500,P371,$A$64:$A$500,"&gt;"&amp;A371)+COUNTIFS($H$64:H371,H371,$P$64:P371,P371,$A$64:A371,A371)))</f>
        <v/>
      </c>
      <c r="S371" t="str">
        <f t="shared" si="55"/>
        <v/>
      </c>
      <c r="T371" t="str">
        <f t="shared" si="56"/>
        <v/>
      </c>
      <c r="U371" t="str">
        <f t="shared" si="57"/>
        <v/>
      </c>
      <c r="Y371" t="str">
        <f t="shared" si="58"/>
        <v/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 t="str">
        <f t="shared" si="51"/>
        <v/>
      </c>
      <c r="I372" s="318" t="str">
        <f t="shared" si="52"/>
        <v/>
      </c>
      <c r="J372" s="318"/>
      <c r="K372" s="318"/>
      <c r="L372" s="318"/>
      <c r="P372" t="str">
        <f t="shared" si="53"/>
        <v/>
      </c>
      <c r="Q372" t="str">
        <f t="shared" si="54"/>
        <v/>
      </c>
      <c r="R372" t="str">
        <f>IF(P372="","",TEXT(H372,"yyyymm")&amp;"_"&amp;P372&amp;"_"&amp;(COUNTIFS($H$64:$H$500,H372,$P$64:$P$500,P372,$A$64:$A$500,"&gt;"&amp;A372)+COUNTIFS($H$64:H372,H372,$P$64:P372,P372,$A$64:A372,A372)))</f>
        <v/>
      </c>
      <c r="S372" t="str">
        <f t="shared" si="55"/>
        <v/>
      </c>
      <c r="T372" t="str">
        <f t="shared" si="56"/>
        <v/>
      </c>
      <c r="U372" t="str">
        <f t="shared" si="57"/>
        <v/>
      </c>
      <c r="Y372" t="str">
        <f t="shared" si="58"/>
        <v/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 t="str">
        <f t="shared" si="51"/>
        <v/>
      </c>
      <c r="I373" s="318" t="str">
        <f t="shared" si="52"/>
        <v/>
      </c>
      <c r="J373" s="318"/>
      <c r="K373" s="318"/>
      <c r="L373" s="318"/>
      <c r="P373" t="str">
        <f t="shared" si="53"/>
        <v/>
      </c>
      <c r="Q373" t="str">
        <f t="shared" si="54"/>
        <v/>
      </c>
      <c r="R373" t="str">
        <f>IF(P373="","",TEXT(H373,"yyyymm")&amp;"_"&amp;P373&amp;"_"&amp;(COUNTIFS($H$64:$H$500,H373,$P$64:$P$500,P373,$A$64:$A$500,"&gt;"&amp;A373)+COUNTIFS($H$64:H373,H373,$P$64:P373,P373,$A$64:A373,A373)))</f>
        <v/>
      </c>
      <c r="S373" t="str">
        <f t="shared" si="55"/>
        <v/>
      </c>
      <c r="T373" t="str">
        <f t="shared" si="56"/>
        <v/>
      </c>
      <c r="U373" t="str">
        <f t="shared" si="57"/>
        <v/>
      </c>
      <c r="Y373" t="str">
        <f t="shared" si="58"/>
        <v/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 t="str">
        <f t="shared" si="51"/>
        <v/>
      </c>
      <c r="I374" s="318" t="str">
        <f t="shared" si="52"/>
        <v/>
      </c>
      <c r="J374" s="318"/>
      <c r="K374" s="318"/>
      <c r="L374" s="318"/>
      <c r="P374" t="str">
        <f t="shared" si="53"/>
        <v/>
      </c>
      <c r="Q374" t="str">
        <f t="shared" si="54"/>
        <v/>
      </c>
      <c r="R374" t="str">
        <f>IF(P374="","",TEXT(H374,"yyyymm")&amp;"_"&amp;P374&amp;"_"&amp;(COUNTIFS($H$64:$H$500,H374,$P$64:$P$500,P374,$A$64:$A$500,"&gt;"&amp;A374)+COUNTIFS($H$64:H374,H374,$P$64:P374,P374,$A$64:A374,A374)))</f>
        <v/>
      </c>
      <c r="S374" t="str">
        <f t="shared" si="55"/>
        <v/>
      </c>
      <c r="T374" t="str">
        <f t="shared" si="56"/>
        <v/>
      </c>
      <c r="U374" t="str">
        <f t="shared" si="57"/>
        <v/>
      </c>
      <c r="Y374" t="str">
        <f t="shared" si="58"/>
        <v/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 t="str">
        <f t="shared" si="51"/>
        <v/>
      </c>
      <c r="I375" s="318" t="str">
        <f t="shared" si="52"/>
        <v/>
      </c>
      <c r="J375" s="318"/>
      <c r="K375" s="318"/>
      <c r="L375" s="318"/>
      <c r="P375" t="str">
        <f t="shared" si="53"/>
        <v/>
      </c>
      <c r="Q375" t="str">
        <f t="shared" si="54"/>
        <v/>
      </c>
      <c r="R375" t="str">
        <f>IF(P375="","",TEXT(H375,"yyyymm")&amp;"_"&amp;P375&amp;"_"&amp;(COUNTIFS($H$64:$H$500,H375,$P$64:$P$500,P375,$A$64:$A$500,"&gt;"&amp;A375)+COUNTIFS($H$64:H375,H375,$P$64:P375,P375,$A$64:A375,A375)))</f>
        <v/>
      </c>
      <c r="S375" t="str">
        <f t="shared" si="55"/>
        <v/>
      </c>
      <c r="T375" t="str">
        <f t="shared" si="56"/>
        <v/>
      </c>
      <c r="U375" t="str">
        <f t="shared" si="57"/>
        <v/>
      </c>
      <c r="Y375" t="str">
        <f t="shared" si="58"/>
        <v/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 t="str">
        <f t="shared" si="51"/>
        <v/>
      </c>
      <c r="I376" s="318" t="str">
        <f t="shared" si="52"/>
        <v/>
      </c>
      <c r="J376" s="318"/>
      <c r="K376" s="318"/>
      <c r="L376" s="318"/>
      <c r="P376" t="str">
        <f t="shared" si="53"/>
        <v/>
      </c>
      <c r="Q376" t="str">
        <f t="shared" si="54"/>
        <v/>
      </c>
      <c r="R376" t="str">
        <f>IF(P376="","",TEXT(H376,"yyyymm")&amp;"_"&amp;P376&amp;"_"&amp;(COUNTIFS($H$64:$H$500,H376,$P$64:$P$500,P376,$A$64:$A$500,"&gt;"&amp;A376)+COUNTIFS($H$64:H376,H376,$P$64:P376,P376,$A$64:A376,A376)))</f>
        <v/>
      </c>
      <c r="S376" t="str">
        <f t="shared" si="55"/>
        <v/>
      </c>
      <c r="T376" t="str">
        <f t="shared" si="56"/>
        <v/>
      </c>
      <c r="U376" t="str">
        <f t="shared" si="57"/>
        <v/>
      </c>
      <c r="Y376" t="str">
        <f t="shared" si="58"/>
        <v/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 t="str">
        <f t="shared" si="51"/>
        <v/>
      </c>
      <c r="I377" s="318" t="str">
        <f t="shared" si="52"/>
        <v/>
      </c>
      <c r="J377" s="318"/>
      <c r="K377" s="318"/>
      <c r="L377" s="318"/>
      <c r="P377" t="str">
        <f t="shared" si="53"/>
        <v/>
      </c>
      <c r="Q377" t="str">
        <f t="shared" si="54"/>
        <v/>
      </c>
      <c r="R377" t="str">
        <f>IF(P377="","",TEXT(H377,"yyyymm")&amp;"_"&amp;P377&amp;"_"&amp;(COUNTIFS($H$64:$H$500,H377,$P$64:$P$500,P377,$A$64:$A$500,"&gt;"&amp;A377)+COUNTIFS($H$64:H377,H377,$P$64:P377,P377,$A$64:A377,A377)))</f>
        <v/>
      </c>
      <c r="S377" t="str">
        <f t="shared" si="55"/>
        <v/>
      </c>
      <c r="T377" t="str">
        <f t="shared" si="56"/>
        <v/>
      </c>
      <c r="U377" t="str">
        <f t="shared" si="57"/>
        <v/>
      </c>
      <c r="Y377" t="str">
        <f t="shared" si="58"/>
        <v/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 t="str">
        <f t="shared" si="51"/>
        <v/>
      </c>
      <c r="I378" s="318" t="str">
        <f t="shared" si="52"/>
        <v/>
      </c>
      <c r="J378" s="318"/>
      <c r="K378" s="318"/>
      <c r="L378" s="318"/>
      <c r="P378" t="str">
        <f t="shared" si="53"/>
        <v/>
      </c>
      <c r="Q378" t="str">
        <f t="shared" si="54"/>
        <v/>
      </c>
      <c r="R378" t="str">
        <f>IF(P378="","",TEXT(H378,"yyyymm")&amp;"_"&amp;P378&amp;"_"&amp;(COUNTIFS($H$64:$H$500,H378,$P$64:$P$500,P378,$A$64:$A$500,"&gt;"&amp;A378)+COUNTIFS($H$64:H378,H378,$P$64:P378,P378,$A$64:A378,A378)))</f>
        <v/>
      </c>
      <c r="S378" t="str">
        <f t="shared" si="55"/>
        <v/>
      </c>
      <c r="T378" t="str">
        <f t="shared" si="56"/>
        <v/>
      </c>
      <c r="U378" t="str">
        <f t="shared" si="57"/>
        <v/>
      </c>
      <c r="Y378" t="str">
        <f t="shared" si="58"/>
        <v/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 t="str">
        <f t="shared" si="51"/>
        <v/>
      </c>
      <c r="I379" s="318" t="str">
        <f t="shared" si="52"/>
        <v/>
      </c>
      <c r="J379" s="318"/>
      <c r="K379" s="318"/>
      <c r="L379" s="318"/>
      <c r="P379" t="str">
        <f t="shared" si="53"/>
        <v/>
      </c>
      <c r="Q379" t="str">
        <f t="shared" si="54"/>
        <v/>
      </c>
      <c r="R379" t="str">
        <f>IF(P379="","",TEXT(H379,"yyyymm")&amp;"_"&amp;P379&amp;"_"&amp;(COUNTIFS($H$64:$H$500,H379,$P$64:$P$500,P379,$A$64:$A$500,"&gt;"&amp;A379)+COUNTIFS($H$64:H379,H379,$P$64:P379,P379,$A$64:A379,A379)))</f>
        <v/>
      </c>
      <c r="S379" t="str">
        <f t="shared" si="55"/>
        <v/>
      </c>
      <c r="T379" t="str">
        <f t="shared" si="56"/>
        <v/>
      </c>
      <c r="U379" t="str">
        <f t="shared" si="57"/>
        <v/>
      </c>
      <c r="Y379" t="str">
        <f t="shared" si="58"/>
        <v/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 t="str">
        <f t="shared" si="51"/>
        <v/>
      </c>
      <c r="I380" s="318" t="str">
        <f t="shared" si="52"/>
        <v/>
      </c>
      <c r="J380" s="318"/>
      <c r="K380" s="318"/>
      <c r="L380" s="318"/>
      <c r="P380" t="str">
        <f t="shared" si="53"/>
        <v/>
      </c>
      <c r="Q380" t="str">
        <f t="shared" si="54"/>
        <v/>
      </c>
      <c r="R380" t="str">
        <f>IF(P380="","",TEXT(H380,"yyyymm")&amp;"_"&amp;P380&amp;"_"&amp;(COUNTIFS($H$64:$H$500,H380,$P$64:$P$500,P380,$A$64:$A$500,"&gt;"&amp;A380)+COUNTIFS($H$64:H380,H380,$P$64:P380,P380,$A$64:A380,A380)))</f>
        <v/>
      </c>
      <c r="S380" t="str">
        <f t="shared" si="55"/>
        <v/>
      </c>
      <c r="T380" t="str">
        <f t="shared" si="56"/>
        <v/>
      </c>
      <c r="U380" t="str">
        <f t="shared" si="57"/>
        <v/>
      </c>
      <c r="Y380" t="str">
        <f t="shared" si="58"/>
        <v/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 t="str">
        <f t="shared" si="51"/>
        <v/>
      </c>
      <c r="I381" s="318" t="str">
        <f t="shared" si="52"/>
        <v/>
      </c>
      <c r="J381" s="318"/>
      <c r="K381" s="318"/>
      <c r="L381" s="318"/>
      <c r="P381" t="str">
        <f t="shared" si="53"/>
        <v/>
      </c>
      <c r="Q381" t="str">
        <f t="shared" si="54"/>
        <v/>
      </c>
      <c r="R381" t="str">
        <f>IF(P381="","",TEXT(H381,"yyyymm")&amp;"_"&amp;P381&amp;"_"&amp;(COUNTIFS($H$64:$H$500,H381,$P$64:$P$500,P381,$A$64:$A$500,"&gt;"&amp;A381)+COUNTIFS($H$64:H381,H381,$P$64:P381,P381,$A$64:A381,A381)))</f>
        <v/>
      </c>
      <c r="S381" t="str">
        <f t="shared" si="55"/>
        <v/>
      </c>
      <c r="T381" t="str">
        <f t="shared" si="56"/>
        <v/>
      </c>
      <c r="U381" t="str">
        <f t="shared" si="57"/>
        <v/>
      </c>
      <c r="Y381" t="str">
        <f t="shared" si="58"/>
        <v/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 t="str">
        <f t="shared" si="51"/>
        <v/>
      </c>
      <c r="I382" s="318" t="str">
        <f t="shared" si="52"/>
        <v/>
      </c>
      <c r="J382" s="318"/>
      <c r="K382" s="318"/>
      <c r="L382" s="318"/>
      <c r="P382" t="str">
        <f t="shared" si="53"/>
        <v/>
      </c>
      <c r="Q382" t="str">
        <f t="shared" si="54"/>
        <v/>
      </c>
      <c r="R382" t="str">
        <f>IF(P382="","",TEXT(H382,"yyyymm")&amp;"_"&amp;P382&amp;"_"&amp;(COUNTIFS($H$64:$H$500,H382,$P$64:$P$500,P382,$A$64:$A$500,"&gt;"&amp;A382)+COUNTIFS($H$64:H382,H382,$P$64:P382,P382,$A$64:A382,A382)))</f>
        <v/>
      </c>
      <c r="S382" t="str">
        <f t="shared" si="55"/>
        <v/>
      </c>
      <c r="T382" t="str">
        <f t="shared" si="56"/>
        <v/>
      </c>
      <c r="U382" t="str">
        <f t="shared" si="57"/>
        <v/>
      </c>
      <c r="Y382" t="str">
        <f t="shared" si="58"/>
        <v/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 t="str">
        <f t="shared" si="51"/>
        <v/>
      </c>
      <c r="I383" s="318" t="str">
        <f t="shared" si="52"/>
        <v/>
      </c>
      <c r="J383" s="318"/>
      <c r="K383" s="318"/>
      <c r="L383" s="318"/>
      <c r="P383" t="str">
        <f t="shared" si="53"/>
        <v/>
      </c>
      <c r="Q383" t="str">
        <f t="shared" si="54"/>
        <v/>
      </c>
      <c r="R383" t="str">
        <f>IF(P383="","",TEXT(H383,"yyyymm")&amp;"_"&amp;P383&amp;"_"&amp;(COUNTIFS($H$64:$H$500,H383,$P$64:$P$500,P383,$A$64:$A$500,"&gt;"&amp;A383)+COUNTIFS($H$64:H383,H383,$P$64:P383,P383,$A$64:A383,A383)))</f>
        <v/>
      </c>
      <c r="S383" t="str">
        <f t="shared" si="55"/>
        <v/>
      </c>
      <c r="T383" t="str">
        <f t="shared" si="56"/>
        <v/>
      </c>
      <c r="U383" t="str">
        <f t="shared" si="57"/>
        <v/>
      </c>
      <c r="Y383" t="str">
        <f t="shared" si="58"/>
        <v/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 t="str">
        <f t="shared" ref="H384:H447" si="59">IF(A384="","",DATE(YEAR(A384),MONTH(A384),1))</f>
        <v/>
      </c>
      <c r="I384" s="318" t="str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  <v/>
      </c>
      <c r="J384" s="318"/>
      <c r="K384" s="318"/>
      <c r="L384" s="318"/>
      <c r="P384" t="str">
        <f t="shared" ref="P384:P447" si="61">IF(Q384="","",IF(Q384="이체","이체","내역"))</f>
        <v/>
      </c>
      <c r="Q384" t="str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  <v/>
      </c>
      <c r="R384" t="str">
        <f>IF(P384="","",TEXT(H384,"yyyymm")&amp;"_"&amp;P384&amp;"_"&amp;(COUNTIFS($H$64:$H$500,H384,$P$64:$P$500,P384,$A$64:$A$500,"&gt;"&amp;A384)+COUNTIFS($H$64:H384,H384,$P$64:P384,P384,$A$64:A384,A384)))</f>
        <v/>
      </c>
      <c r="S384" t="str">
        <f t="shared" ref="S384:S447" si="63">IF(Q384="","",D384)</f>
        <v/>
      </c>
      <c r="T384" t="str">
        <f t="shared" ref="T384:T447" si="64">IF(Q384="","",IF(Q384="이체",E384,IF(D384=Q384,E384,-E384)))</f>
        <v/>
      </c>
      <c r="U384" t="str">
        <f t="shared" ref="U384:U447" si="65">IF(Q384="","",IF(ISNUMBER(SEARCH("날짜 미기록",G384)),"날짜 미기록",A384))</f>
        <v/>
      </c>
      <c r="Y384" t="str">
        <f t="shared" ref="Y384:Y447" si="66">IF(A384="","",IF(I384="OK",E384,0))</f>
        <v/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 t="str">
        <f t="shared" si="59"/>
        <v/>
      </c>
      <c r="I385" s="318" t="str">
        <f t="shared" si="60"/>
        <v/>
      </c>
      <c r="J385" s="318"/>
      <c r="K385" s="318"/>
      <c r="L385" s="318"/>
      <c r="P385" t="str">
        <f t="shared" si="61"/>
        <v/>
      </c>
      <c r="Q385" t="str">
        <f t="shared" si="62"/>
        <v/>
      </c>
      <c r="R385" t="str">
        <f>IF(P385="","",TEXT(H385,"yyyymm")&amp;"_"&amp;P385&amp;"_"&amp;(COUNTIFS($H$64:$H$500,H385,$P$64:$P$500,P385,$A$64:$A$500,"&gt;"&amp;A385)+COUNTIFS($H$64:H385,H385,$P$64:P385,P385,$A$64:A385,A385)))</f>
        <v/>
      </c>
      <c r="S385" t="str">
        <f t="shared" si="63"/>
        <v/>
      </c>
      <c r="T385" t="str">
        <f t="shared" si="64"/>
        <v/>
      </c>
      <c r="U385" t="str">
        <f t="shared" si="65"/>
        <v/>
      </c>
      <c r="Y385" t="str">
        <f t="shared" si="66"/>
        <v/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 t="str">
        <f t="shared" si="59"/>
        <v/>
      </c>
      <c r="I386" s="318" t="str">
        <f t="shared" si="60"/>
        <v/>
      </c>
      <c r="J386" s="318"/>
      <c r="K386" s="318"/>
      <c r="L386" s="318"/>
      <c r="P386" t="str">
        <f t="shared" si="61"/>
        <v/>
      </c>
      <c r="Q386" t="str">
        <f t="shared" si="62"/>
        <v/>
      </c>
      <c r="R386" t="str">
        <f>IF(P386="","",TEXT(H386,"yyyymm")&amp;"_"&amp;P386&amp;"_"&amp;(COUNTIFS($H$64:$H$500,H386,$P$64:$P$500,P386,$A$64:$A$500,"&gt;"&amp;A386)+COUNTIFS($H$64:H386,H386,$P$64:P386,P386,$A$64:A386,A386)))</f>
        <v/>
      </c>
      <c r="S386" t="str">
        <f t="shared" si="63"/>
        <v/>
      </c>
      <c r="T386" t="str">
        <f t="shared" si="64"/>
        <v/>
      </c>
      <c r="U386" t="str">
        <f t="shared" si="65"/>
        <v/>
      </c>
      <c r="Y386" t="str">
        <f t="shared" si="66"/>
        <v/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 t="str">
        <f t="shared" si="59"/>
        <v/>
      </c>
      <c r="I387" s="318" t="str">
        <f t="shared" si="60"/>
        <v/>
      </c>
      <c r="J387" s="318"/>
      <c r="K387" s="318"/>
      <c r="L387" s="318"/>
      <c r="P387" t="str">
        <f t="shared" si="61"/>
        <v/>
      </c>
      <c r="Q387" t="str">
        <f t="shared" si="62"/>
        <v/>
      </c>
      <c r="R387" t="str">
        <f>IF(P387="","",TEXT(H387,"yyyymm")&amp;"_"&amp;P387&amp;"_"&amp;(COUNTIFS($H$64:$H$500,H387,$P$64:$P$500,P387,$A$64:$A$500,"&gt;"&amp;A387)+COUNTIFS($H$64:H387,H387,$P$64:P387,P387,$A$64:A387,A387)))</f>
        <v/>
      </c>
      <c r="S387" t="str">
        <f t="shared" si="63"/>
        <v/>
      </c>
      <c r="T387" t="str">
        <f t="shared" si="64"/>
        <v/>
      </c>
      <c r="U387" t="str">
        <f t="shared" si="65"/>
        <v/>
      </c>
      <c r="Y387" t="str">
        <f t="shared" si="66"/>
        <v/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 t="str">
        <f t="shared" si="59"/>
        <v/>
      </c>
      <c r="I388" s="318" t="str">
        <f t="shared" si="60"/>
        <v/>
      </c>
      <c r="J388" s="318"/>
      <c r="K388" s="318"/>
      <c r="L388" s="318"/>
      <c r="P388" t="str">
        <f t="shared" si="61"/>
        <v/>
      </c>
      <c r="Q388" t="str">
        <f t="shared" si="62"/>
        <v/>
      </c>
      <c r="R388" t="str">
        <f>IF(P388="","",TEXT(H388,"yyyymm")&amp;"_"&amp;P388&amp;"_"&amp;(COUNTIFS($H$64:$H$500,H388,$P$64:$P$500,P388,$A$64:$A$500,"&gt;"&amp;A388)+COUNTIFS($H$64:H388,H388,$P$64:P388,P388,$A$64:A388,A388)))</f>
        <v/>
      </c>
      <c r="S388" t="str">
        <f t="shared" si="63"/>
        <v/>
      </c>
      <c r="T388" t="str">
        <f t="shared" si="64"/>
        <v/>
      </c>
      <c r="U388" t="str">
        <f t="shared" si="65"/>
        <v/>
      </c>
      <c r="Y388" t="str">
        <f t="shared" si="66"/>
        <v/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 t="str">
        <f t="shared" si="59"/>
        <v/>
      </c>
      <c r="I389" s="318" t="str">
        <f t="shared" si="60"/>
        <v/>
      </c>
      <c r="J389" s="318"/>
      <c r="K389" s="318"/>
      <c r="L389" s="318"/>
      <c r="P389" t="str">
        <f t="shared" si="61"/>
        <v/>
      </c>
      <c r="Q389" t="str">
        <f t="shared" si="62"/>
        <v/>
      </c>
      <c r="R389" t="str">
        <f>IF(P389="","",TEXT(H389,"yyyymm")&amp;"_"&amp;P389&amp;"_"&amp;(COUNTIFS($H$64:$H$500,H389,$P$64:$P$500,P389,$A$64:$A$500,"&gt;"&amp;A389)+COUNTIFS($H$64:H389,H389,$P$64:P389,P389,$A$64:A389,A389)))</f>
        <v/>
      </c>
      <c r="S389" t="str">
        <f t="shared" si="63"/>
        <v/>
      </c>
      <c r="T389" t="str">
        <f t="shared" si="64"/>
        <v/>
      </c>
      <c r="U389" t="str">
        <f t="shared" si="65"/>
        <v/>
      </c>
      <c r="Y389" t="str">
        <f t="shared" si="66"/>
        <v/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 t="str">
        <f t="shared" si="59"/>
        <v/>
      </c>
      <c r="I390" s="318" t="str">
        <f t="shared" si="60"/>
        <v/>
      </c>
      <c r="J390" s="318"/>
      <c r="K390" s="318"/>
      <c r="L390" s="318"/>
      <c r="P390" t="str">
        <f t="shared" si="61"/>
        <v/>
      </c>
      <c r="Q390" t="str">
        <f t="shared" si="62"/>
        <v/>
      </c>
      <c r="R390" t="str">
        <f>IF(P390="","",TEXT(H390,"yyyymm")&amp;"_"&amp;P390&amp;"_"&amp;(COUNTIFS($H$64:$H$500,H390,$P$64:$P$500,P390,$A$64:$A$500,"&gt;"&amp;A390)+COUNTIFS($H$64:H390,H390,$P$64:P390,P390,$A$64:A390,A390)))</f>
        <v/>
      </c>
      <c r="S390" t="str">
        <f t="shared" si="63"/>
        <v/>
      </c>
      <c r="T390" t="str">
        <f t="shared" si="64"/>
        <v/>
      </c>
      <c r="U390" t="str">
        <f t="shared" si="65"/>
        <v/>
      </c>
      <c r="Y390" t="str">
        <f t="shared" si="66"/>
        <v/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 t="str">
        <f t="shared" si="59"/>
        <v/>
      </c>
      <c r="I391" s="318" t="str">
        <f t="shared" si="60"/>
        <v/>
      </c>
      <c r="J391" s="318"/>
      <c r="K391" s="318"/>
      <c r="L391" s="318"/>
      <c r="P391" t="str">
        <f t="shared" si="61"/>
        <v/>
      </c>
      <c r="Q391" t="str">
        <f t="shared" si="62"/>
        <v/>
      </c>
      <c r="R391" t="str">
        <f>IF(P391="","",TEXT(H391,"yyyymm")&amp;"_"&amp;P391&amp;"_"&amp;(COUNTIFS($H$64:$H$500,H391,$P$64:$P$500,P391,$A$64:$A$500,"&gt;"&amp;A391)+COUNTIFS($H$64:H391,H391,$P$64:P391,P391,$A$64:A391,A391)))</f>
        <v/>
      </c>
      <c r="S391" t="str">
        <f t="shared" si="63"/>
        <v/>
      </c>
      <c r="T391" t="str">
        <f t="shared" si="64"/>
        <v/>
      </c>
      <c r="U391" t="str">
        <f t="shared" si="65"/>
        <v/>
      </c>
      <c r="Y391" t="str">
        <f t="shared" si="66"/>
        <v/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 t="str">
        <f t="shared" si="59"/>
        <v/>
      </c>
      <c r="I392" s="318" t="str">
        <f t="shared" si="60"/>
        <v/>
      </c>
      <c r="J392" s="318"/>
      <c r="K392" s="318"/>
      <c r="L392" s="318"/>
      <c r="P392" t="str">
        <f t="shared" si="61"/>
        <v/>
      </c>
      <c r="Q392" t="str">
        <f t="shared" si="62"/>
        <v/>
      </c>
      <c r="R392" t="str">
        <f>IF(P392="","",TEXT(H392,"yyyymm")&amp;"_"&amp;P392&amp;"_"&amp;(COUNTIFS($H$64:$H$500,H392,$P$64:$P$500,P392,$A$64:$A$500,"&gt;"&amp;A392)+COUNTIFS($H$64:H392,H392,$P$64:P392,P392,$A$64:A392,A392)))</f>
        <v/>
      </c>
      <c r="S392" t="str">
        <f t="shared" si="63"/>
        <v/>
      </c>
      <c r="T392" t="str">
        <f t="shared" si="64"/>
        <v/>
      </c>
      <c r="U392" t="str">
        <f t="shared" si="65"/>
        <v/>
      </c>
      <c r="Y392" t="str">
        <f t="shared" si="66"/>
        <v/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 t="str">
        <f t="shared" si="59"/>
        <v/>
      </c>
      <c r="I393" s="318" t="str">
        <f t="shared" si="60"/>
        <v/>
      </c>
      <c r="J393" s="318"/>
      <c r="K393" s="318"/>
      <c r="L393" s="318"/>
      <c r="P393" t="str">
        <f t="shared" si="61"/>
        <v/>
      </c>
      <c r="Q393" t="str">
        <f t="shared" si="62"/>
        <v/>
      </c>
      <c r="R393" t="str">
        <f>IF(P393="","",TEXT(H393,"yyyymm")&amp;"_"&amp;P393&amp;"_"&amp;(COUNTIFS($H$64:$H$500,H393,$P$64:$P$500,P393,$A$64:$A$500,"&gt;"&amp;A393)+COUNTIFS($H$64:H393,H393,$P$64:P393,P393,$A$64:A393,A393)))</f>
        <v/>
      </c>
      <c r="S393" t="str">
        <f t="shared" si="63"/>
        <v/>
      </c>
      <c r="T393" t="str">
        <f t="shared" si="64"/>
        <v/>
      </c>
      <c r="U393" t="str">
        <f t="shared" si="65"/>
        <v/>
      </c>
      <c r="Y393" t="str">
        <f t="shared" si="66"/>
        <v/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 t="str">
        <f t="shared" si="59"/>
        <v/>
      </c>
      <c r="I394" s="318" t="str">
        <f t="shared" si="60"/>
        <v/>
      </c>
      <c r="J394" s="318"/>
      <c r="K394" s="318"/>
      <c r="L394" s="318"/>
      <c r="P394" t="str">
        <f t="shared" si="61"/>
        <v/>
      </c>
      <c r="Q394" t="str">
        <f t="shared" si="62"/>
        <v/>
      </c>
      <c r="R394" t="str">
        <f>IF(P394="","",TEXT(H394,"yyyymm")&amp;"_"&amp;P394&amp;"_"&amp;(COUNTIFS($H$64:$H$500,H394,$P$64:$P$500,P394,$A$64:$A$500,"&gt;"&amp;A394)+COUNTIFS($H$64:H394,H394,$P$64:P394,P394,$A$64:A394,A394)))</f>
        <v/>
      </c>
      <c r="S394" t="str">
        <f t="shared" si="63"/>
        <v/>
      </c>
      <c r="T394" t="str">
        <f t="shared" si="64"/>
        <v/>
      </c>
      <c r="U394" t="str">
        <f t="shared" si="65"/>
        <v/>
      </c>
      <c r="Y394" t="str">
        <f t="shared" si="66"/>
        <v/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 t="str">
        <f t="shared" si="59"/>
        <v/>
      </c>
      <c r="I395" s="318" t="str">
        <f t="shared" si="60"/>
        <v/>
      </c>
      <c r="J395" s="318"/>
      <c r="K395" s="318"/>
      <c r="L395" s="318"/>
      <c r="P395" t="str">
        <f t="shared" si="61"/>
        <v/>
      </c>
      <c r="Q395" t="str">
        <f t="shared" si="62"/>
        <v/>
      </c>
      <c r="R395" t="str">
        <f>IF(P395="","",TEXT(H395,"yyyymm")&amp;"_"&amp;P395&amp;"_"&amp;(COUNTIFS($H$64:$H$500,H395,$P$64:$P$500,P395,$A$64:$A$500,"&gt;"&amp;A395)+COUNTIFS($H$64:H395,H395,$P$64:P395,P395,$A$64:A395,A395)))</f>
        <v/>
      </c>
      <c r="S395" t="str">
        <f t="shared" si="63"/>
        <v/>
      </c>
      <c r="T395" t="str">
        <f t="shared" si="64"/>
        <v/>
      </c>
      <c r="U395" t="str">
        <f t="shared" si="65"/>
        <v/>
      </c>
      <c r="Y395" t="str">
        <f t="shared" si="66"/>
        <v/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 t="str">
        <f t="shared" si="59"/>
        <v/>
      </c>
      <c r="I396" s="318" t="str">
        <f t="shared" si="60"/>
        <v/>
      </c>
      <c r="J396" s="318"/>
      <c r="K396" s="318"/>
      <c r="L396" s="318"/>
      <c r="P396" t="str">
        <f t="shared" si="61"/>
        <v/>
      </c>
      <c r="Q396" t="str">
        <f t="shared" si="62"/>
        <v/>
      </c>
      <c r="R396" t="str">
        <f>IF(P396="","",TEXT(H396,"yyyymm")&amp;"_"&amp;P396&amp;"_"&amp;(COUNTIFS($H$64:$H$500,H396,$P$64:$P$500,P396,$A$64:$A$500,"&gt;"&amp;A396)+COUNTIFS($H$64:H396,H396,$P$64:P396,P396,$A$64:A396,A396)))</f>
        <v/>
      </c>
      <c r="S396" t="str">
        <f t="shared" si="63"/>
        <v/>
      </c>
      <c r="T396" t="str">
        <f t="shared" si="64"/>
        <v/>
      </c>
      <c r="U396" t="str">
        <f t="shared" si="65"/>
        <v/>
      </c>
      <c r="Y396" t="str">
        <f t="shared" si="66"/>
        <v/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 t="str">
        <f t="shared" si="59"/>
        <v/>
      </c>
      <c r="I397" s="318" t="str">
        <f t="shared" si="60"/>
        <v/>
      </c>
      <c r="J397" s="318"/>
      <c r="K397" s="318"/>
      <c r="L397" s="318"/>
      <c r="P397" t="str">
        <f t="shared" si="61"/>
        <v/>
      </c>
      <c r="Q397" t="str">
        <f t="shared" si="62"/>
        <v/>
      </c>
      <c r="R397" t="str">
        <f>IF(P397="","",TEXT(H397,"yyyymm")&amp;"_"&amp;P397&amp;"_"&amp;(COUNTIFS($H$64:$H$500,H397,$P$64:$P$500,P397,$A$64:$A$500,"&gt;"&amp;A397)+COUNTIFS($H$64:H397,H397,$P$64:P397,P397,$A$64:A397,A397)))</f>
        <v/>
      </c>
      <c r="S397" t="str">
        <f t="shared" si="63"/>
        <v/>
      </c>
      <c r="T397" t="str">
        <f t="shared" si="64"/>
        <v/>
      </c>
      <c r="U397" t="str">
        <f t="shared" si="65"/>
        <v/>
      </c>
      <c r="Y397" t="str">
        <f t="shared" si="66"/>
        <v/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 t="str">
        <f t="shared" si="59"/>
        <v/>
      </c>
      <c r="I398" s="318" t="str">
        <f t="shared" si="60"/>
        <v/>
      </c>
      <c r="J398" s="318"/>
      <c r="K398" s="318"/>
      <c r="L398" s="318"/>
      <c r="P398" t="str">
        <f t="shared" si="61"/>
        <v/>
      </c>
      <c r="Q398" t="str">
        <f t="shared" si="62"/>
        <v/>
      </c>
      <c r="R398" t="str">
        <f>IF(P398="","",TEXT(H398,"yyyymm")&amp;"_"&amp;P398&amp;"_"&amp;(COUNTIFS($H$64:$H$500,H398,$P$64:$P$500,P398,$A$64:$A$500,"&gt;"&amp;A398)+COUNTIFS($H$64:H398,H398,$P$64:P398,P398,$A$64:A398,A398)))</f>
        <v/>
      </c>
      <c r="S398" t="str">
        <f t="shared" si="63"/>
        <v/>
      </c>
      <c r="T398" t="str">
        <f t="shared" si="64"/>
        <v/>
      </c>
      <c r="U398" t="str">
        <f t="shared" si="65"/>
        <v/>
      </c>
      <c r="Y398" t="str">
        <f t="shared" si="66"/>
        <v/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 t="str">
        <f t="shared" si="59"/>
        <v/>
      </c>
      <c r="I399" s="318" t="str">
        <f t="shared" si="60"/>
        <v/>
      </c>
      <c r="J399" s="318"/>
      <c r="K399" s="318"/>
      <c r="L399" s="318"/>
      <c r="P399" t="str">
        <f t="shared" si="61"/>
        <v/>
      </c>
      <c r="Q399" t="str">
        <f t="shared" si="62"/>
        <v/>
      </c>
      <c r="R399" t="str">
        <f>IF(P399="","",TEXT(H399,"yyyymm")&amp;"_"&amp;P399&amp;"_"&amp;(COUNTIFS($H$64:$H$500,H399,$P$64:$P$500,P399,$A$64:$A$500,"&gt;"&amp;A399)+COUNTIFS($H$64:H399,H399,$P$64:P399,P399,$A$64:A399,A399)))</f>
        <v/>
      </c>
      <c r="S399" t="str">
        <f t="shared" si="63"/>
        <v/>
      </c>
      <c r="T399" t="str">
        <f t="shared" si="64"/>
        <v/>
      </c>
      <c r="U399" t="str">
        <f t="shared" si="65"/>
        <v/>
      </c>
      <c r="Y399" t="str">
        <f t="shared" si="66"/>
        <v/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 t="str">
        <f t="shared" si="59"/>
        <v/>
      </c>
      <c r="I400" s="318" t="str">
        <f t="shared" si="60"/>
        <v/>
      </c>
      <c r="J400" s="318"/>
      <c r="K400" s="318"/>
      <c r="L400" s="318"/>
      <c r="P400" t="str">
        <f t="shared" si="61"/>
        <v/>
      </c>
      <c r="Q400" t="str">
        <f t="shared" si="62"/>
        <v/>
      </c>
      <c r="R400" t="str">
        <f>IF(P400="","",TEXT(H400,"yyyymm")&amp;"_"&amp;P400&amp;"_"&amp;(COUNTIFS($H$64:$H$500,H400,$P$64:$P$500,P400,$A$64:$A$500,"&gt;"&amp;A400)+COUNTIFS($H$64:H400,H400,$P$64:P400,P400,$A$64:A400,A400)))</f>
        <v/>
      </c>
      <c r="S400" t="str">
        <f t="shared" si="63"/>
        <v/>
      </c>
      <c r="T400" t="str">
        <f t="shared" si="64"/>
        <v/>
      </c>
      <c r="U400" t="str">
        <f t="shared" si="65"/>
        <v/>
      </c>
      <c r="Y400" t="str">
        <f t="shared" si="66"/>
        <v/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 t="str">
        <f t="shared" si="59"/>
        <v/>
      </c>
      <c r="I401" s="318" t="str">
        <f t="shared" si="60"/>
        <v/>
      </c>
      <c r="J401" s="318"/>
      <c r="K401" s="318"/>
      <c r="L401" s="318"/>
      <c r="P401" t="str">
        <f t="shared" si="61"/>
        <v/>
      </c>
      <c r="Q401" t="str">
        <f t="shared" si="62"/>
        <v/>
      </c>
      <c r="R401" t="str">
        <f>IF(P401="","",TEXT(H401,"yyyymm")&amp;"_"&amp;P401&amp;"_"&amp;(COUNTIFS($H$64:$H$500,H401,$P$64:$P$500,P401,$A$64:$A$500,"&gt;"&amp;A401)+COUNTIFS($H$64:H401,H401,$P$64:P401,P401,$A$64:A401,A401)))</f>
        <v/>
      </c>
      <c r="S401" t="str">
        <f t="shared" si="63"/>
        <v/>
      </c>
      <c r="T401" t="str">
        <f t="shared" si="64"/>
        <v/>
      </c>
      <c r="U401" t="str">
        <f t="shared" si="65"/>
        <v/>
      </c>
      <c r="Y401" t="str">
        <f t="shared" si="66"/>
        <v/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 t="str">
        <f t="shared" si="59"/>
        <v/>
      </c>
      <c r="I402" s="318" t="str">
        <f t="shared" si="60"/>
        <v/>
      </c>
      <c r="J402" s="318"/>
      <c r="K402" s="318"/>
      <c r="L402" s="318"/>
      <c r="P402" t="str">
        <f t="shared" si="61"/>
        <v/>
      </c>
      <c r="Q402" t="str">
        <f t="shared" si="62"/>
        <v/>
      </c>
      <c r="R402" t="str">
        <f>IF(P402="","",TEXT(H402,"yyyymm")&amp;"_"&amp;P402&amp;"_"&amp;(COUNTIFS($H$64:$H$500,H402,$P$64:$P$500,P402,$A$64:$A$500,"&gt;"&amp;A402)+COUNTIFS($H$64:H402,H402,$P$64:P402,P402,$A$64:A402,A402)))</f>
        <v/>
      </c>
      <c r="S402" t="str">
        <f t="shared" si="63"/>
        <v/>
      </c>
      <c r="T402" t="str">
        <f t="shared" si="64"/>
        <v/>
      </c>
      <c r="U402" t="str">
        <f t="shared" si="65"/>
        <v/>
      </c>
      <c r="Y402" t="str">
        <f t="shared" si="66"/>
        <v/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 t="str">
        <f t="shared" si="59"/>
        <v/>
      </c>
      <c r="I403" s="318" t="str">
        <f t="shared" si="60"/>
        <v/>
      </c>
      <c r="J403" s="318"/>
      <c r="K403" s="318"/>
      <c r="L403" s="318"/>
      <c r="P403" t="str">
        <f t="shared" si="61"/>
        <v/>
      </c>
      <c r="Q403" t="str">
        <f t="shared" si="62"/>
        <v/>
      </c>
      <c r="R403" t="str">
        <f>IF(P403="","",TEXT(H403,"yyyymm")&amp;"_"&amp;P403&amp;"_"&amp;(COUNTIFS($H$64:$H$500,H403,$P$64:$P$500,P403,$A$64:$A$500,"&gt;"&amp;A403)+COUNTIFS($H$64:H403,H403,$P$64:P403,P403,$A$64:A403,A403)))</f>
        <v/>
      </c>
      <c r="S403" t="str">
        <f t="shared" si="63"/>
        <v/>
      </c>
      <c r="T403" t="str">
        <f t="shared" si="64"/>
        <v/>
      </c>
      <c r="U403" t="str">
        <f t="shared" si="65"/>
        <v/>
      </c>
      <c r="Y403" t="str">
        <f t="shared" si="66"/>
        <v/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 t="str">
        <f t="shared" si="59"/>
        <v/>
      </c>
      <c r="I404" s="318" t="str">
        <f t="shared" si="60"/>
        <v/>
      </c>
      <c r="J404" s="318"/>
      <c r="K404" s="318"/>
      <c r="L404" s="318"/>
      <c r="P404" t="str">
        <f t="shared" si="61"/>
        <v/>
      </c>
      <c r="Q404" t="str">
        <f t="shared" si="62"/>
        <v/>
      </c>
      <c r="R404" t="str">
        <f>IF(P404="","",TEXT(H404,"yyyymm")&amp;"_"&amp;P404&amp;"_"&amp;(COUNTIFS($H$64:$H$500,H404,$P$64:$P$500,P404,$A$64:$A$500,"&gt;"&amp;A404)+COUNTIFS($H$64:H404,H404,$P$64:P404,P404,$A$64:A404,A404)))</f>
        <v/>
      </c>
      <c r="S404" t="str">
        <f t="shared" si="63"/>
        <v/>
      </c>
      <c r="T404" t="str">
        <f t="shared" si="64"/>
        <v/>
      </c>
      <c r="U404" t="str">
        <f t="shared" si="65"/>
        <v/>
      </c>
      <c r="Y404" t="str">
        <f t="shared" si="66"/>
        <v/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 t="str">
        <f t="shared" si="59"/>
        <v/>
      </c>
      <c r="I405" s="318" t="str">
        <f t="shared" si="60"/>
        <v/>
      </c>
      <c r="J405" s="318"/>
      <c r="K405" s="318"/>
      <c r="L405" s="318"/>
      <c r="P405" t="str">
        <f t="shared" si="61"/>
        <v/>
      </c>
      <c r="Q405" t="str">
        <f t="shared" si="62"/>
        <v/>
      </c>
      <c r="R405" t="str">
        <f>IF(P405="","",TEXT(H405,"yyyymm")&amp;"_"&amp;P405&amp;"_"&amp;(COUNTIFS($H$64:$H$500,H405,$P$64:$P$500,P405,$A$64:$A$500,"&gt;"&amp;A405)+COUNTIFS($H$64:H405,H405,$P$64:P405,P405,$A$64:A405,A405)))</f>
        <v/>
      </c>
      <c r="S405" t="str">
        <f t="shared" si="63"/>
        <v/>
      </c>
      <c r="T405" t="str">
        <f t="shared" si="64"/>
        <v/>
      </c>
      <c r="U405" t="str">
        <f t="shared" si="65"/>
        <v/>
      </c>
      <c r="Y405" t="str">
        <f t="shared" si="66"/>
        <v/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 t="str">
        <f t="shared" si="59"/>
        <v/>
      </c>
      <c r="I406" s="318" t="str">
        <f t="shared" si="60"/>
        <v/>
      </c>
      <c r="J406" s="318"/>
      <c r="K406" s="318"/>
      <c r="L406" s="318"/>
      <c r="P406" t="str">
        <f t="shared" si="61"/>
        <v/>
      </c>
      <c r="Q406" t="str">
        <f t="shared" si="62"/>
        <v/>
      </c>
      <c r="R406" t="str">
        <f>IF(P406="","",TEXT(H406,"yyyymm")&amp;"_"&amp;P406&amp;"_"&amp;(COUNTIFS($H$64:$H$500,H406,$P$64:$P$500,P406,$A$64:$A$500,"&gt;"&amp;A406)+COUNTIFS($H$64:H406,H406,$P$64:P406,P406,$A$64:A406,A406)))</f>
        <v/>
      </c>
      <c r="S406" t="str">
        <f t="shared" si="63"/>
        <v/>
      </c>
      <c r="T406" t="str">
        <f t="shared" si="64"/>
        <v/>
      </c>
      <c r="U406" t="str">
        <f t="shared" si="65"/>
        <v/>
      </c>
      <c r="Y406" t="str">
        <f t="shared" si="66"/>
        <v/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 t="str">
        <f t="shared" si="59"/>
        <v/>
      </c>
      <c r="I407" s="318" t="str">
        <f t="shared" si="60"/>
        <v/>
      </c>
      <c r="J407" s="318"/>
      <c r="K407" s="318"/>
      <c r="L407" s="318"/>
      <c r="P407" t="str">
        <f t="shared" si="61"/>
        <v/>
      </c>
      <c r="Q407" t="str">
        <f t="shared" si="62"/>
        <v/>
      </c>
      <c r="R407" t="str">
        <f>IF(P407="","",TEXT(H407,"yyyymm")&amp;"_"&amp;P407&amp;"_"&amp;(COUNTIFS($H$64:$H$500,H407,$P$64:$P$500,P407,$A$64:$A$500,"&gt;"&amp;A407)+COUNTIFS($H$64:H407,H407,$P$64:P407,P407,$A$64:A407,A407)))</f>
        <v/>
      </c>
      <c r="S407" t="str">
        <f t="shared" si="63"/>
        <v/>
      </c>
      <c r="T407" t="str">
        <f t="shared" si="64"/>
        <v/>
      </c>
      <c r="U407" t="str">
        <f t="shared" si="65"/>
        <v/>
      </c>
      <c r="Y407" t="str">
        <f t="shared" si="66"/>
        <v/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 t="str">
        <f t="shared" si="59"/>
        <v/>
      </c>
      <c r="I408" s="318" t="str">
        <f t="shared" si="60"/>
        <v/>
      </c>
      <c r="J408" s="318"/>
      <c r="K408" s="318"/>
      <c r="L408" s="318"/>
      <c r="P408" t="str">
        <f t="shared" si="61"/>
        <v/>
      </c>
      <c r="Q408" t="str">
        <f t="shared" si="62"/>
        <v/>
      </c>
      <c r="R408" t="str">
        <f>IF(P408="","",TEXT(H408,"yyyymm")&amp;"_"&amp;P408&amp;"_"&amp;(COUNTIFS($H$64:$H$500,H408,$P$64:$P$500,P408,$A$64:$A$500,"&gt;"&amp;A408)+COUNTIFS($H$64:H408,H408,$P$64:P408,P408,$A$64:A408,A408)))</f>
        <v/>
      </c>
      <c r="S408" t="str">
        <f t="shared" si="63"/>
        <v/>
      </c>
      <c r="T408" t="str">
        <f t="shared" si="64"/>
        <v/>
      </c>
      <c r="U408" t="str">
        <f t="shared" si="65"/>
        <v/>
      </c>
      <c r="Y408" t="str">
        <f t="shared" si="66"/>
        <v/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 t="str">
        <f t="shared" si="59"/>
        <v/>
      </c>
      <c r="I409" s="318" t="str">
        <f t="shared" si="60"/>
        <v/>
      </c>
      <c r="J409" s="318"/>
      <c r="K409" s="318"/>
      <c r="L409" s="318"/>
      <c r="P409" t="str">
        <f t="shared" si="61"/>
        <v/>
      </c>
      <c r="Q409" t="str">
        <f t="shared" si="62"/>
        <v/>
      </c>
      <c r="R409" t="str">
        <f>IF(P409="","",TEXT(H409,"yyyymm")&amp;"_"&amp;P409&amp;"_"&amp;(COUNTIFS($H$64:$H$500,H409,$P$64:$P$500,P409,$A$64:$A$500,"&gt;"&amp;A409)+COUNTIFS($H$64:H409,H409,$P$64:P409,P409,$A$64:A409,A409)))</f>
        <v/>
      </c>
      <c r="S409" t="str">
        <f t="shared" si="63"/>
        <v/>
      </c>
      <c r="T409" t="str">
        <f t="shared" si="64"/>
        <v/>
      </c>
      <c r="U409" t="str">
        <f t="shared" si="65"/>
        <v/>
      </c>
      <c r="Y409" t="str">
        <f t="shared" si="66"/>
        <v/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 t="str">
        <f t="shared" si="59"/>
        <v/>
      </c>
      <c r="I410" s="318" t="str">
        <f t="shared" si="60"/>
        <v/>
      </c>
      <c r="J410" s="318"/>
      <c r="K410" s="318"/>
      <c r="L410" s="318"/>
      <c r="P410" t="str">
        <f t="shared" si="61"/>
        <v/>
      </c>
      <c r="Q410" t="str">
        <f t="shared" si="62"/>
        <v/>
      </c>
      <c r="R410" t="str">
        <f>IF(P410="","",TEXT(H410,"yyyymm")&amp;"_"&amp;P410&amp;"_"&amp;(COUNTIFS($H$64:$H$500,H410,$P$64:$P$500,P410,$A$64:$A$500,"&gt;"&amp;A410)+COUNTIFS($H$64:H410,H410,$P$64:P410,P410,$A$64:A410,A410)))</f>
        <v/>
      </c>
      <c r="S410" t="str">
        <f t="shared" si="63"/>
        <v/>
      </c>
      <c r="T410" t="str">
        <f t="shared" si="64"/>
        <v/>
      </c>
      <c r="U410" t="str">
        <f t="shared" si="65"/>
        <v/>
      </c>
      <c r="Y410" t="str">
        <f t="shared" si="66"/>
        <v/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 t="str">
        <f t="shared" si="59"/>
        <v/>
      </c>
      <c r="I411" s="318" t="str">
        <f t="shared" si="60"/>
        <v/>
      </c>
      <c r="J411" s="318"/>
      <c r="K411" s="318"/>
      <c r="L411" s="318"/>
      <c r="P411" t="str">
        <f t="shared" si="61"/>
        <v/>
      </c>
      <c r="Q411" t="str">
        <f t="shared" si="62"/>
        <v/>
      </c>
      <c r="R411" t="str">
        <f>IF(P411="","",TEXT(H411,"yyyymm")&amp;"_"&amp;P411&amp;"_"&amp;(COUNTIFS($H$64:$H$500,H411,$P$64:$P$500,P411,$A$64:$A$500,"&gt;"&amp;A411)+COUNTIFS($H$64:H411,H411,$P$64:P411,P411,$A$64:A411,A411)))</f>
        <v/>
      </c>
      <c r="S411" t="str">
        <f t="shared" si="63"/>
        <v/>
      </c>
      <c r="T411" t="str">
        <f t="shared" si="64"/>
        <v/>
      </c>
      <c r="U411" t="str">
        <f t="shared" si="65"/>
        <v/>
      </c>
      <c r="Y411" t="str">
        <f t="shared" si="66"/>
        <v/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 t="str">
        <f t="shared" si="59"/>
        <v/>
      </c>
      <c r="I412" s="318" t="str">
        <f t="shared" si="60"/>
        <v/>
      </c>
      <c r="J412" s="318"/>
      <c r="K412" s="318"/>
      <c r="L412" s="318"/>
      <c r="P412" t="str">
        <f t="shared" si="61"/>
        <v/>
      </c>
      <c r="Q412" t="str">
        <f t="shared" si="62"/>
        <v/>
      </c>
      <c r="R412" t="str">
        <f>IF(P412="","",TEXT(H412,"yyyymm")&amp;"_"&amp;P412&amp;"_"&amp;(COUNTIFS($H$64:$H$500,H412,$P$64:$P$500,P412,$A$64:$A$500,"&gt;"&amp;A412)+COUNTIFS($H$64:H412,H412,$P$64:P412,P412,$A$64:A412,A412)))</f>
        <v/>
      </c>
      <c r="S412" t="str">
        <f t="shared" si="63"/>
        <v/>
      </c>
      <c r="T412" t="str">
        <f t="shared" si="64"/>
        <v/>
      </c>
      <c r="U412" t="str">
        <f t="shared" si="65"/>
        <v/>
      </c>
      <c r="Y412" t="str">
        <f t="shared" si="66"/>
        <v/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 t="str">
        <f t="shared" si="59"/>
        <v/>
      </c>
      <c r="I413" s="318" t="str">
        <f t="shared" si="60"/>
        <v/>
      </c>
      <c r="J413" s="318"/>
      <c r="K413" s="318"/>
      <c r="L413" s="318"/>
      <c r="P413" t="str">
        <f t="shared" si="61"/>
        <v/>
      </c>
      <c r="Q413" t="str">
        <f t="shared" si="62"/>
        <v/>
      </c>
      <c r="R413" t="str">
        <f>IF(P413="","",TEXT(H413,"yyyymm")&amp;"_"&amp;P413&amp;"_"&amp;(COUNTIFS($H$64:$H$500,H413,$P$64:$P$500,P413,$A$64:$A$500,"&gt;"&amp;A413)+COUNTIFS($H$64:H413,H413,$P$64:P413,P413,$A$64:A413,A413)))</f>
        <v/>
      </c>
      <c r="S413" t="str">
        <f t="shared" si="63"/>
        <v/>
      </c>
      <c r="T413" t="str">
        <f t="shared" si="64"/>
        <v/>
      </c>
      <c r="U413" t="str">
        <f t="shared" si="65"/>
        <v/>
      </c>
      <c r="Y413" t="str">
        <f t="shared" si="66"/>
        <v/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 t="str">
        <f t="shared" si="59"/>
        <v/>
      </c>
      <c r="I414" s="318" t="str">
        <f t="shared" si="60"/>
        <v/>
      </c>
      <c r="J414" s="318"/>
      <c r="K414" s="318"/>
      <c r="L414" s="318"/>
      <c r="P414" t="str">
        <f t="shared" si="61"/>
        <v/>
      </c>
      <c r="Q414" t="str">
        <f t="shared" si="62"/>
        <v/>
      </c>
      <c r="R414" t="str">
        <f>IF(P414="","",TEXT(H414,"yyyymm")&amp;"_"&amp;P414&amp;"_"&amp;(COUNTIFS($H$64:$H$500,H414,$P$64:$P$500,P414,$A$64:$A$500,"&gt;"&amp;A414)+COUNTIFS($H$64:H414,H414,$P$64:P414,P414,$A$64:A414,A414)))</f>
        <v/>
      </c>
      <c r="S414" t="str">
        <f t="shared" si="63"/>
        <v/>
      </c>
      <c r="T414" t="str">
        <f t="shared" si="64"/>
        <v/>
      </c>
      <c r="U414" t="str">
        <f t="shared" si="65"/>
        <v/>
      </c>
      <c r="Y414" t="str">
        <f t="shared" si="66"/>
        <v/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 t="str">
        <f t="shared" si="59"/>
        <v/>
      </c>
      <c r="I415" s="318" t="str">
        <f t="shared" si="60"/>
        <v/>
      </c>
      <c r="J415" s="318"/>
      <c r="K415" s="318"/>
      <c r="L415" s="318"/>
      <c r="P415" t="str">
        <f t="shared" si="61"/>
        <v/>
      </c>
      <c r="Q415" t="str">
        <f t="shared" si="62"/>
        <v/>
      </c>
      <c r="R415" t="str">
        <f>IF(P415="","",TEXT(H415,"yyyymm")&amp;"_"&amp;P415&amp;"_"&amp;(COUNTIFS($H$64:$H$500,H415,$P$64:$P$500,P415,$A$64:$A$500,"&gt;"&amp;A415)+COUNTIFS($H$64:H415,H415,$P$64:P415,P415,$A$64:A415,A415)))</f>
        <v/>
      </c>
      <c r="S415" t="str">
        <f t="shared" si="63"/>
        <v/>
      </c>
      <c r="T415" t="str">
        <f t="shared" si="64"/>
        <v/>
      </c>
      <c r="U415" t="str">
        <f t="shared" si="65"/>
        <v/>
      </c>
      <c r="Y415" t="str">
        <f t="shared" si="66"/>
        <v/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 t="str">
        <f t="shared" si="59"/>
        <v/>
      </c>
      <c r="I416" s="318" t="str">
        <f t="shared" si="60"/>
        <v/>
      </c>
      <c r="J416" s="318"/>
      <c r="K416" s="318"/>
      <c r="L416" s="318"/>
      <c r="P416" t="str">
        <f t="shared" si="61"/>
        <v/>
      </c>
      <c r="Q416" t="str">
        <f t="shared" si="62"/>
        <v/>
      </c>
      <c r="R416" t="str">
        <f>IF(P416="","",TEXT(H416,"yyyymm")&amp;"_"&amp;P416&amp;"_"&amp;(COUNTIFS($H$64:$H$500,H416,$P$64:$P$500,P416,$A$64:$A$500,"&gt;"&amp;A416)+COUNTIFS($H$64:H416,H416,$P$64:P416,P416,$A$64:A416,A416)))</f>
        <v/>
      </c>
      <c r="S416" t="str">
        <f t="shared" si="63"/>
        <v/>
      </c>
      <c r="T416" t="str">
        <f t="shared" si="64"/>
        <v/>
      </c>
      <c r="U416" t="str">
        <f t="shared" si="65"/>
        <v/>
      </c>
      <c r="Y416" t="str">
        <f t="shared" si="66"/>
        <v/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 t="str">
        <f t="shared" si="59"/>
        <v/>
      </c>
      <c r="I417" s="318" t="str">
        <f t="shared" si="60"/>
        <v/>
      </c>
      <c r="J417" s="318"/>
      <c r="K417" s="318"/>
      <c r="L417" s="318"/>
      <c r="P417" t="str">
        <f t="shared" si="61"/>
        <v/>
      </c>
      <c r="Q417" t="str">
        <f t="shared" si="62"/>
        <v/>
      </c>
      <c r="R417" t="str">
        <f>IF(P417="","",TEXT(H417,"yyyymm")&amp;"_"&amp;P417&amp;"_"&amp;(COUNTIFS($H$64:$H$500,H417,$P$64:$P$500,P417,$A$64:$A$500,"&gt;"&amp;A417)+COUNTIFS($H$64:H417,H417,$P$64:P417,P417,$A$64:A417,A417)))</f>
        <v/>
      </c>
      <c r="S417" t="str">
        <f t="shared" si="63"/>
        <v/>
      </c>
      <c r="T417" t="str">
        <f t="shared" si="64"/>
        <v/>
      </c>
      <c r="U417" t="str">
        <f t="shared" si="65"/>
        <v/>
      </c>
      <c r="Y417" t="str">
        <f t="shared" si="66"/>
        <v/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 t="str">
        <f t="shared" si="59"/>
        <v/>
      </c>
      <c r="I418" s="318" t="str">
        <f t="shared" si="60"/>
        <v/>
      </c>
      <c r="J418" s="318"/>
      <c r="K418" s="318"/>
      <c r="L418" s="318"/>
      <c r="P418" t="str">
        <f t="shared" si="61"/>
        <v/>
      </c>
      <c r="Q418" t="str">
        <f t="shared" si="62"/>
        <v/>
      </c>
      <c r="R418" t="str">
        <f>IF(P418="","",TEXT(H418,"yyyymm")&amp;"_"&amp;P418&amp;"_"&amp;(COUNTIFS($H$64:$H$500,H418,$P$64:$P$500,P418,$A$64:$A$500,"&gt;"&amp;A418)+COUNTIFS($H$64:H418,H418,$P$64:P418,P418,$A$64:A418,A418)))</f>
        <v/>
      </c>
      <c r="S418" t="str">
        <f t="shared" si="63"/>
        <v/>
      </c>
      <c r="T418" t="str">
        <f t="shared" si="64"/>
        <v/>
      </c>
      <c r="U418" t="str">
        <f t="shared" si="65"/>
        <v/>
      </c>
      <c r="Y418" t="str">
        <f t="shared" si="66"/>
        <v/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 t="str">
        <f t="shared" si="59"/>
        <v/>
      </c>
      <c r="I419" s="318" t="str">
        <f t="shared" si="60"/>
        <v/>
      </c>
      <c r="J419" s="318"/>
      <c r="K419" s="318"/>
      <c r="L419" s="318"/>
      <c r="P419" t="str">
        <f t="shared" si="61"/>
        <v/>
      </c>
      <c r="Q419" t="str">
        <f t="shared" si="62"/>
        <v/>
      </c>
      <c r="R419" t="str">
        <f>IF(P419="","",TEXT(H419,"yyyymm")&amp;"_"&amp;P419&amp;"_"&amp;(COUNTIFS($H$64:$H$500,H419,$P$64:$P$500,P419,$A$64:$A$500,"&gt;"&amp;A419)+COUNTIFS($H$64:H419,H419,$P$64:P419,P419,$A$64:A419,A419)))</f>
        <v/>
      </c>
      <c r="S419" t="str">
        <f t="shared" si="63"/>
        <v/>
      </c>
      <c r="T419" t="str">
        <f t="shared" si="64"/>
        <v/>
      </c>
      <c r="U419" t="str">
        <f t="shared" si="65"/>
        <v/>
      </c>
      <c r="Y419" t="str">
        <f t="shared" si="66"/>
        <v/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 t="str">
        <f t="shared" si="59"/>
        <v/>
      </c>
      <c r="I420" s="318" t="str">
        <f t="shared" si="60"/>
        <v/>
      </c>
      <c r="J420" s="318"/>
      <c r="K420" s="318"/>
      <c r="L420" s="318"/>
      <c r="P420" t="str">
        <f t="shared" si="61"/>
        <v/>
      </c>
      <c r="Q420" t="str">
        <f t="shared" si="62"/>
        <v/>
      </c>
      <c r="R420" t="str">
        <f>IF(P420="","",TEXT(H420,"yyyymm")&amp;"_"&amp;P420&amp;"_"&amp;(COUNTIFS($H$64:$H$500,H420,$P$64:$P$500,P420,$A$64:$A$500,"&gt;"&amp;A420)+COUNTIFS($H$64:H420,H420,$P$64:P420,P420,$A$64:A420,A420)))</f>
        <v/>
      </c>
      <c r="S420" t="str">
        <f t="shared" si="63"/>
        <v/>
      </c>
      <c r="T420" t="str">
        <f t="shared" si="64"/>
        <v/>
      </c>
      <c r="U420" t="str">
        <f t="shared" si="65"/>
        <v/>
      </c>
      <c r="Y420" t="str">
        <f t="shared" si="66"/>
        <v/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 t="str">
        <f t="shared" si="59"/>
        <v/>
      </c>
      <c r="I421" s="318" t="str">
        <f t="shared" si="60"/>
        <v/>
      </c>
      <c r="J421" s="318"/>
      <c r="K421" s="318"/>
      <c r="L421" s="318"/>
      <c r="P421" t="str">
        <f t="shared" si="61"/>
        <v/>
      </c>
      <c r="Q421" t="str">
        <f t="shared" si="62"/>
        <v/>
      </c>
      <c r="R421" t="str">
        <f>IF(P421="","",TEXT(H421,"yyyymm")&amp;"_"&amp;P421&amp;"_"&amp;(COUNTIFS($H$64:$H$500,H421,$P$64:$P$500,P421,$A$64:$A$500,"&gt;"&amp;A421)+COUNTIFS($H$64:H421,H421,$P$64:P421,P421,$A$64:A421,A421)))</f>
        <v/>
      </c>
      <c r="S421" t="str">
        <f t="shared" si="63"/>
        <v/>
      </c>
      <c r="T421" t="str">
        <f t="shared" si="64"/>
        <v/>
      </c>
      <c r="U421" t="str">
        <f t="shared" si="65"/>
        <v/>
      </c>
      <c r="Y421" t="str">
        <f t="shared" si="66"/>
        <v/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 t="str">
        <f t="shared" si="59"/>
        <v/>
      </c>
      <c r="I422" s="318" t="str">
        <f t="shared" si="60"/>
        <v/>
      </c>
      <c r="J422" s="318"/>
      <c r="K422" s="318"/>
      <c r="L422" s="318"/>
      <c r="P422" t="str">
        <f t="shared" si="61"/>
        <v/>
      </c>
      <c r="Q422" t="str">
        <f t="shared" si="62"/>
        <v/>
      </c>
      <c r="R422" t="str">
        <f>IF(P422="","",TEXT(H422,"yyyymm")&amp;"_"&amp;P422&amp;"_"&amp;(COUNTIFS($H$64:$H$500,H422,$P$64:$P$500,P422,$A$64:$A$500,"&gt;"&amp;A422)+COUNTIFS($H$64:H422,H422,$P$64:P422,P422,$A$64:A422,A422)))</f>
        <v/>
      </c>
      <c r="S422" t="str">
        <f t="shared" si="63"/>
        <v/>
      </c>
      <c r="T422" t="str">
        <f t="shared" si="64"/>
        <v/>
      </c>
      <c r="U422" t="str">
        <f t="shared" si="65"/>
        <v/>
      </c>
      <c r="Y422" t="str">
        <f t="shared" si="66"/>
        <v/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 t="str">
        <f t="shared" si="59"/>
        <v/>
      </c>
      <c r="I423" s="318" t="str">
        <f t="shared" si="60"/>
        <v/>
      </c>
      <c r="J423" s="318"/>
      <c r="K423" s="318"/>
      <c r="L423" s="318"/>
      <c r="P423" t="str">
        <f t="shared" si="61"/>
        <v/>
      </c>
      <c r="Q423" t="str">
        <f t="shared" si="62"/>
        <v/>
      </c>
      <c r="R423" t="str">
        <f>IF(P423="","",TEXT(H423,"yyyymm")&amp;"_"&amp;P423&amp;"_"&amp;(COUNTIFS($H$64:$H$500,H423,$P$64:$P$500,P423,$A$64:$A$500,"&gt;"&amp;A423)+COUNTIFS($H$64:H423,H423,$P$64:P423,P423,$A$64:A423,A423)))</f>
        <v/>
      </c>
      <c r="S423" t="str">
        <f t="shared" si="63"/>
        <v/>
      </c>
      <c r="T423" t="str">
        <f t="shared" si="64"/>
        <v/>
      </c>
      <c r="U423" t="str">
        <f t="shared" si="65"/>
        <v/>
      </c>
      <c r="Y423" t="str">
        <f t="shared" si="66"/>
        <v/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 t="str">
        <f t="shared" si="59"/>
        <v/>
      </c>
      <c r="I424" s="318" t="str">
        <f t="shared" si="60"/>
        <v/>
      </c>
      <c r="J424" s="318"/>
      <c r="K424" s="318"/>
      <c r="L424" s="318"/>
      <c r="P424" t="str">
        <f t="shared" si="61"/>
        <v/>
      </c>
      <c r="Q424" t="str">
        <f t="shared" si="62"/>
        <v/>
      </c>
      <c r="R424" t="str">
        <f>IF(P424="","",TEXT(H424,"yyyymm")&amp;"_"&amp;P424&amp;"_"&amp;(COUNTIFS($H$64:$H$500,H424,$P$64:$P$500,P424,$A$64:$A$500,"&gt;"&amp;A424)+COUNTIFS($H$64:H424,H424,$P$64:P424,P424,$A$64:A424,A424)))</f>
        <v/>
      </c>
      <c r="S424" t="str">
        <f t="shared" si="63"/>
        <v/>
      </c>
      <c r="T424" t="str">
        <f t="shared" si="64"/>
        <v/>
      </c>
      <c r="U424" t="str">
        <f t="shared" si="65"/>
        <v/>
      </c>
      <c r="Y424" t="str">
        <f t="shared" si="66"/>
        <v/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 t="str">
        <f t="shared" si="59"/>
        <v/>
      </c>
      <c r="I425" s="318" t="str">
        <f t="shared" si="60"/>
        <v/>
      </c>
      <c r="J425" s="318"/>
      <c r="K425" s="318"/>
      <c r="L425" s="318"/>
      <c r="P425" t="str">
        <f t="shared" si="61"/>
        <v/>
      </c>
      <c r="Q425" t="str">
        <f t="shared" si="62"/>
        <v/>
      </c>
      <c r="R425" t="str">
        <f>IF(P425="","",TEXT(H425,"yyyymm")&amp;"_"&amp;P425&amp;"_"&amp;(COUNTIFS($H$64:$H$500,H425,$P$64:$P$500,P425,$A$64:$A$500,"&gt;"&amp;A425)+COUNTIFS($H$64:H425,H425,$P$64:P425,P425,$A$64:A425,A425)))</f>
        <v/>
      </c>
      <c r="S425" t="str">
        <f t="shared" si="63"/>
        <v/>
      </c>
      <c r="T425" t="str">
        <f t="shared" si="64"/>
        <v/>
      </c>
      <c r="U425" t="str">
        <f t="shared" si="65"/>
        <v/>
      </c>
      <c r="Y425" t="str">
        <f t="shared" si="66"/>
        <v/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 t="str">
        <f t="shared" si="59"/>
        <v/>
      </c>
      <c r="I426" s="318" t="str">
        <f t="shared" si="60"/>
        <v/>
      </c>
      <c r="J426" s="318"/>
      <c r="K426" s="318"/>
      <c r="L426" s="318"/>
      <c r="P426" t="str">
        <f t="shared" si="61"/>
        <v/>
      </c>
      <c r="Q426" t="str">
        <f t="shared" si="62"/>
        <v/>
      </c>
      <c r="R426" t="str">
        <f>IF(P426="","",TEXT(H426,"yyyymm")&amp;"_"&amp;P426&amp;"_"&amp;(COUNTIFS($H$64:$H$500,H426,$P$64:$P$500,P426,$A$64:$A$500,"&gt;"&amp;A426)+COUNTIFS($H$64:H426,H426,$P$64:P426,P426,$A$64:A426,A426)))</f>
        <v/>
      </c>
      <c r="S426" t="str">
        <f t="shared" si="63"/>
        <v/>
      </c>
      <c r="T426" t="str">
        <f t="shared" si="64"/>
        <v/>
      </c>
      <c r="U426" t="str">
        <f t="shared" si="65"/>
        <v/>
      </c>
      <c r="Y426" t="str">
        <f t="shared" si="66"/>
        <v/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 t="str">
        <f t="shared" si="59"/>
        <v/>
      </c>
      <c r="I427" s="318" t="str">
        <f t="shared" si="60"/>
        <v/>
      </c>
      <c r="J427" s="318"/>
      <c r="K427" s="318"/>
      <c r="L427" s="318"/>
      <c r="P427" t="str">
        <f t="shared" si="61"/>
        <v/>
      </c>
      <c r="Q427" t="str">
        <f t="shared" si="62"/>
        <v/>
      </c>
      <c r="R427" t="str">
        <f>IF(P427="","",TEXT(H427,"yyyymm")&amp;"_"&amp;P427&amp;"_"&amp;(COUNTIFS($H$64:$H$500,H427,$P$64:$P$500,P427,$A$64:$A$500,"&gt;"&amp;A427)+COUNTIFS($H$64:H427,H427,$P$64:P427,P427,$A$64:A427,A427)))</f>
        <v/>
      </c>
      <c r="S427" t="str">
        <f t="shared" si="63"/>
        <v/>
      </c>
      <c r="T427" t="str">
        <f t="shared" si="64"/>
        <v/>
      </c>
      <c r="U427" t="str">
        <f t="shared" si="65"/>
        <v/>
      </c>
      <c r="Y427" t="str">
        <f t="shared" si="66"/>
        <v/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 t="str">
        <f t="shared" si="59"/>
        <v/>
      </c>
      <c r="I428" s="318" t="str">
        <f t="shared" si="60"/>
        <v/>
      </c>
      <c r="J428" s="318"/>
      <c r="K428" s="318"/>
      <c r="L428" s="318"/>
      <c r="P428" t="str">
        <f t="shared" si="61"/>
        <v/>
      </c>
      <c r="Q428" t="str">
        <f t="shared" si="62"/>
        <v/>
      </c>
      <c r="R428" t="str">
        <f>IF(P428="","",TEXT(H428,"yyyymm")&amp;"_"&amp;P428&amp;"_"&amp;(COUNTIFS($H$64:$H$500,H428,$P$64:$P$500,P428,$A$64:$A$500,"&gt;"&amp;A428)+COUNTIFS($H$64:H428,H428,$P$64:P428,P428,$A$64:A428,A428)))</f>
        <v/>
      </c>
      <c r="S428" t="str">
        <f t="shared" si="63"/>
        <v/>
      </c>
      <c r="T428" t="str">
        <f t="shared" si="64"/>
        <v/>
      </c>
      <c r="U428" t="str">
        <f t="shared" si="65"/>
        <v/>
      </c>
      <c r="Y428" t="str">
        <f t="shared" si="66"/>
        <v/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 t="str">
        <f t="shared" si="59"/>
        <v/>
      </c>
      <c r="I429" s="318" t="str">
        <f t="shared" si="60"/>
        <v/>
      </c>
      <c r="J429" s="318"/>
      <c r="K429" s="318"/>
      <c r="L429" s="318"/>
      <c r="P429" t="str">
        <f t="shared" si="61"/>
        <v/>
      </c>
      <c r="Q429" t="str">
        <f t="shared" si="62"/>
        <v/>
      </c>
      <c r="R429" t="str">
        <f>IF(P429="","",TEXT(H429,"yyyymm")&amp;"_"&amp;P429&amp;"_"&amp;(COUNTIFS($H$64:$H$500,H429,$P$64:$P$500,P429,$A$64:$A$500,"&gt;"&amp;A429)+COUNTIFS($H$64:H429,H429,$P$64:P429,P429,$A$64:A429,A429)))</f>
        <v/>
      </c>
      <c r="S429" t="str">
        <f t="shared" si="63"/>
        <v/>
      </c>
      <c r="T429" t="str">
        <f t="shared" si="64"/>
        <v/>
      </c>
      <c r="U429" t="str">
        <f t="shared" si="65"/>
        <v/>
      </c>
      <c r="Y429" t="str">
        <f t="shared" si="66"/>
        <v/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 t="str">
        <f t="shared" si="59"/>
        <v/>
      </c>
      <c r="I430" s="318" t="str">
        <f t="shared" si="60"/>
        <v/>
      </c>
      <c r="J430" s="318"/>
      <c r="K430" s="318"/>
      <c r="L430" s="318"/>
      <c r="P430" t="str">
        <f t="shared" si="61"/>
        <v/>
      </c>
      <c r="Q430" t="str">
        <f t="shared" si="62"/>
        <v/>
      </c>
      <c r="R430" t="str">
        <f>IF(P430="","",TEXT(H430,"yyyymm")&amp;"_"&amp;P430&amp;"_"&amp;(COUNTIFS($H$64:$H$500,H430,$P$64:$P$500,P430,$A$64:$A$500,"&gt;"&amp;A430)+COUNTIFS($H$64:H430,H430,$P$64:P430,P430,$A$64:A430,A430)))</f>
        <v/>
      </c>
      <c r="S430" t="str">
        <f t="shared" si="63"/>
        <v/>
      </c>
      <c r="T430" t="str">
        <f t="shared" si="64"/>
        <v/>
      </c>
      <c r="U430" t="str">
        <f t="shared" si="65"/>
        <v/>
      </c>
      <c r="Y430" t="str">
        <f t="shared" si="66"/>
        <v/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 t="str">
        <f t="shared" si="59"/>
        <v/>
      </c>
      <c r="I431" s="318" t="str">
        <f t="shared" si="60"/>
        <v/>
      </c>
      <c r="J431" s="318"/>
      <c r="K431" s="318"/>
      <c r="L431" s="318"/>
      <c r="P431" t="str">
        <f t="shared" si="61"/>
        <v/>
      </c>
      <c r="Q431" t="str">
        <f t="shared" si="62"/>
        <v/>
      </c>
      <c r="R431" t="str">
        <f>IF(P431="","",TEXT(H431,"yyyymm")&amp;"_"&amp;P431&amp;"_"&amp;(COUNTIFS($H$64:$H$500,H431,$P$64:$P$500,P431,$A$64:$A$500,"&gt;"&amp;A431)+COUNTIFS($H$64:H431,H431,$P$64:P431,P431,$A$64:A431,A431)))</f>
        <v/>
      </c>
      <c r="S431" t="str">
        <f t="shared" si="63"/>
        <v/>
      </c>
      <c r="T431" t="str">
        <f t="shared" si="64"/>
        <v/>
      </c>
      <c r="U431" t="str">
        <f t="shared" si="65"/>
        <v/>
      </c>
      <c r="Y431" t="str">
        <f t="shared" si="66"/>
        <v/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 t="str">
        <f t="shared" si="59"/>
        <v/>
      </c>
      <c r="I432" s="318" t="str">
        <f t="shared" si="60"/>
        <v/>
      </c>
      <c r="J432" s="318"/>
      <c r="K432" s="318"/>
      <c r="L432" s="318"/>
      <c r="P432" t="str">
        <f t="shared" si="61"/>
        <v/>
      </c>
      <c r="Q432" t="str">
        <f t="shared" si="62"/>
        <v/>
      </c>
      <c r="R432" t="str">
        <f>IF(P432="","",TEXT(H432,"yyyymm")&amp;"_"&amp;P432&amp;"_"&amp;(COUNTIFS($H$64:$H$500,H432,$P$64:$P$500,P432,$A$64:$A$500,"&gt;"&amp;A432)+COUNTIFS($H$64:H432,H432,$P$64:P432,P432,$A$64:A432,A432)))</f>
        <v/>
      </c>
      <c r="S432" t="str">
        <f t="shared" si="63"/>
        <v/>
      </c>
      <c r="T432" t="str">
        <f t="shared" si="64"/>
        <v/>
      </c>
      <c r="U432" t="str">
        <f t="shared" si="65"/>
        <v/>
      </c>
      <c r="Y432" t="str">
        <f t="shared" si="66"/>
        <v/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 t="str">
        <f t="shared" si="59"/>
        <v/>
      </c>
      <c r="I433" s="318" t="str">
        <f t="shared" si="60"/>
        <v/>
      </c>
      <c r="J433" s="318"/>
      <c r="K433" s="318"/>
      <c r="L433" s="318"/>
      <c r="P433" t="str">
        <f t="shared" si="61"/>
        <v/>
      </c>
      <c r="Q433" t="str">
        <f t="shared" si="62"/>
        <v/>
      </c>
      <c r="R433" t="str">
        <f>IF(P433="","",TEXT(H433,"yyyymm")&amp;"_"&amp;P433&amp;"_"&amp;(COUNTIFS($H$64:$H$500,H433,$P$64:$P$500,P433,$A$64:$A$500,"&gt;"&amp;A433)+COUNTIFS($H$64:H433,H433,$P$64:P433,P433,$A$64:A433,A433)))</f>
        <v/>
      </c>
      <c r="S433" t="str">
        <f t="shared" si="63"/>
        <v/>
      </c>
      <c r="T433" t="str">
        <f t="shared" si="64"/>
        <v/>
      </c>
      <c r="U433" t="str">
        <f t="shared" si="65"/>
        <v/>
      </c>
      <c r="Y433" t="str">
        <f t="shared" si="66"/>
        <v/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 t="str">
        <f t="shared" si="59"/>
        <v/>
      </c>
      <c r="I434" s="318" t="str">
        <f t="shared" si="60"/>
        <v/>
      </c>
      <c r="J434" s="318"/>
      <c r="K434" s="318"/>
      <c r="L434" s="318"/>
      <c r="P434" t="str">
        <f t="shared" si="61"/>
        <v/>
      </c>
      <c r="Q434" t="str">
        <f t="shared" si="62"/>
        <v/>
      </c>
      <c r="R434" t="str">
        <f>IF(P434="","",TEXT(H434,"yyyymm")&amp;"_"&amp;P434&amp;"_"&amp;(COUNTIFS($H$64:$H$500,H434,$P$64:$P$500,P434,$A$64:$A$500,"&gt;"&amp;A434)+COUNTIFS($H$64:H434,H434,$P$64:P434,P434,$A$64:A434,A434)))</f>
        <v/>
      </c>
      <c r="S434" t="str">
        <f t="shared" si="63"/>
        <v/>
      </c>
      <c r="T434" t="str">
        <f t="shared" si="64"/>
        <v/>
      </c>
      <c r="U434" t="str">
        <f t="shared" si="65"/>
        <v/>
      </c>
      <c r="Y434" t="str">
        <f t="shared" si="66"/>
        <v/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 t="str">
        <f t="shared" si="59"/>
        <v/>
      </c>
      <c r="I435" s="318" t="str">
        <f t="shared" si="60"/>
        <v/>
      </c>
      <c r="J435" s="318"/>
      <c r="K435" s="318"/>
      <c r="L435" s="318"/>
      <c r="P435" t="str">
        <f t="shared" si="61"/>
        <v/>
      </c>
      <c r="Q435" t="str">
        <f t="shared" si="62"/>
        <v/>
      </c>
      <c r="R435" t="str">
        <f>IF(P435="","",TEXT(H435,"yyyymm")&amp;"_"&amp;P435&amp;"_"&amp;(COUNTIFS($H$64:$H$500,H435,$P$64:$P$500,P435,$A$64:$A$500,"&gt;"&amp;A435)+COUNTIFS($H$64:H435,H435,$P$64:P435,P435,$A$64:A435,A435)))</f>
        <v/>
      </c>
      <c r="S435" t="str">
        <f t="shared" si="63"/>
        <v/>
      </c>
      <c r="T435" t="str">
        <f t="shared" si="64"/>
        <v/>
      </c>
      <c r="U435" t="str">
        <f t="shared" si="65"/>
        <v/>
      </c>
      <c r="Y435" t="str">
        <f t="shared" si="66"/>
        <v/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 t="str">
        <f t="shared" si="59"/>
        <v/>
      </c>
      <c r="I436" s="318" t="str">
        <f t="shared" si="60"/>
        <v/>
      </c>
      <c r="J436" s="318"/>
      <c r="K436" s="318"/>
      <c r="L436" s="318"/>
      <c r="P436" t="str">
        <f t="shared" si="61"/>
        <v/>
      </c>
      <c r="Q436" t="str">
        <f t="shared" si="62"/>
        <v/>
      </c>
      <c r="R436" t="str">
        <f>IF(P436="","",TEXT(H436,"yyyymm")&amp;"_"&amp;P436&amp;"_"&amp;(COUNTIFS($H$64:$H$500,H436,$P$64:$P$500,P436,$A$64:$A$500,"&gt;"&amp;A436)+COUNTIFS($H$64:H436,H436,$P$64:P436,P436,$A$64:A436,A436)))</f>
        <v/>
      </c>
      <c r="S436" t="str">
        <f t="shared" si="63"/>
        <v/>
      </c>
      <c r="T436" t="str">
        <f t="shared" si="64"/>
        <v/>
      </c>
      <c r="U436" t="str">
        <f t="shared" si="65"/>
        <v/>
      </c>
      <c r="Y436" t="str">
        <f t="shared" si="66"/>
        <v/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 t="str">
        <f t="shared" si="59"/>
        <v/>
      </c>
      <c r="I437" s="318" t="str">
        <f t="shared" si="60"/>
        <v/>
      </c>
      <c r="J437" s="318"/>
      <c r="K437" s="318"/>
      <c r="L437" s="318"/>
      <c r="P437" t="str">
        <f t="shared" si="61"/>
        <v/>
      </c>
      <c r="Q437" t="str">
        <f t="shared" si="62"/>
        <v/>
      </c>
      <c r="R437" t="str">
        <f>IF(P437="","",TEXT(H437,"yyyymm")&amp;"_"&amp;P437&amp;"_"&amp;(COUNTIFS($H$64:$H$500,H437,$P$64:$P$500,P437,$A$64:$A$500,"&gt;"&amp;A437)+COUNTIFS($H$64:H437,H437,$P$64:P437,P437,$A$64:A437,A437)))</f>
        <v/>
      </c>
      <c r="S437" t="str">
        <f t="shared" si="63"/>
        <v/>
      </c>
      <c r="T437" t="str">
        <f t="shared" si="64"/>
        <v/>
      </c>
      <c r="U437" t="str">
        <f t="shared" si="65"/>
        <v/>
      </c>
      <c r="Y437" t="str">
        <f t="shared" si="66"/>
        <v/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 t="str">
        <f t="shared" si="59"/>
        <v/>
      </c>
      <c r="I438" s="318" t="str">
        <f t="shared" si="60"/>
        <v/>
      </c>
      <c r="J438" s="318"/>
      <c r="K438" s="318"/>
      <c r="L438" s="318"/>
      <c r="P438" t="str">
        <f t="shared" si="61"/>
        <v/>
      </c>
      <c r="Q438" t="str">
        <f t="shared" si="62"/>
        <v/>
      </c>
      <c r="R438" t="str">
        <f>IF(P438="","",TEXT(H438,"yyyymm")&amp;"_"&amp;P438&amp;"_"&amp;(COUNTIFS($H$64:$H$500,H438,$P$64:$P$500,P438,$A$64:$A$500,"&gt;"&amp;A438)+COUNTIFS($H$64:H438,H438,$P$64:P438,P438,$A$64:A438,A438)))</f>
        <v/>
      </c>
      <c r="S438" t="str">
        <f t="shared" si="63"/>
        <v/>
      </c>
      <c r="T438" t="str">
        <f t="shared" si="64"/>
        <v/>
      </c>
      <c r="U438" t="str">
        <f t="shared" si="65"/>
        <v/>
      </c>
      <c r="Y438" t="str">
        <f t="shared" si="66"/>
        <v/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 t="str">
        <f t="shared" si="59"/>
        <v/>
      </c>
      <c r="I439" s="318" t="str">
        <f t="shared" si="60"/>
        <v/>
      </c>
      <c r="J439" s="318"/>
      <c r="K439" s="318"/>
      <c r="L439" s="318"/>
      <c r="P439" t="str">
        <f t="shared" si="61"/>
        <v/>
      </c>
      <c r="Q439" t="str">
        <f t="shared" si="62"/>
        <v/>
      </c>
      <c r="R439" t="str">
        <f>IF(P439="","",TEXT(H439,"yyyymm")&amp;"_"&amp;P439&amp;"_"&amp;(COUNTIFS($H$64:$H$500,H439,$P$64:$P$500,P439,$A$64:$A$500,"&gt;"&amp;A439)+COUNTIFS($H$64:H439,H439,$P$64:P439,P439,$A$64:A439,A439)))</f>
        <v/>
      </c>
      <c r="S439" t="str">
        <f t="shared" si="63"/>
        <v/>
      </c>
      <c r="T439" t="str">
        <f t="shared" si="64"/>
        <v/>
      </c>
      <c r="U439" t="str">
        <f t="shared" si="65"/>
        <v/>
      </c>
      <c r="Y439" t="str">
        <f t="shared" si="66"/>
        <v/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 t="str">
        <f t="shared" si="59"/>
        <v/>
      </c>
      <c r="I440" s="318" t="str">
        <f t="shared" si="60"/>
        <v/>
      </c>
      <c r="J440" s="318"/>
      <c r="K440" s="318"/>
      <c r="L440" s="318"/>
      <c r="P440" t="str">
        <f t="shared" si="61"/>
        <v/>
      </c>
      <c r="Q440" t="str">
        <f t="shared" si="62"/>
        <v/>
      </c>
      <c r="R440" t="str">
        <f>IF(P440="","",TEXT(H440,"yyyymm")&amp;"_"&amp;P440&amp;"_"&amp;(COUNTIFS($H$64:$H$500,H440,$P$64:$P$500,P440,$A$64:$A$500,"&gt;"&amp;A440)+COUNTIFS($H$64:H440,H440,$P$64:P440,P440,$A$64:A440,A440)))</f>
        <v/>
      </c>
      <c r="S440" t="str">
        <f t="shared" si="63"/>
        <v/>
      </c>
      <c r="T440" t="str">
        <f t="shared" si="64"/>
        <v/>
      </c>
      <c r="U440" t="str">
        <f t="shared" si="65"/>
        <v/>
      </c>
      <c r="Y440" t="str">
        <f t="shared" si="66"/>
        <v/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 t="str">
        <f t="shared" si="59"/>
        <v/>
      </c>
      <c r="I441" s="318" t="str">
        <f t="shared" si="60"/>
        <v/>
      </c>
      <c r="J441" s="318"/>
      <c r="K441" s="318"/>
      <c r="L441" s="318"/>
      <c r="P441" t="str">
        <f t="shared" si="61"/>
        <v/>
      </c>
      <c r="Q441" t="str">
        <f t="shared" si="62"/>
        <v/>
      </c>
      <c r="R441" t="str">
        <f>IF(P441="","",TEXT(H441,"yyyymm")&amp;"_"&amp;P441&amp;"_"&amp;(COUNTIFS($H$64:$H$500,H441,$P$64:$P$500,P441,$A$64:$A$500,"&gt;"&amp;A441)+COUNTIFS($H$64:H441,H441,$P$64:P441,P441,$A$64:A441,A441)))</f>
        <v/>
      </c>
      <c r="S441" t="str">
        <f t="shared" si="63"/>
        <v/>
      </c>
      <c r="T441" t="str">
        <f t="shared" si="64"/>
        <v/>
      </c>
      <c r="U441" t="str">
        <f t="shared" si="65"/>
        <v/>
      </c>
      <c r="Y441" t="str">
        <f t="shared" si="66"/>
        <v/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 t="str">
        <f t="shared" si="59"/>
        <v/>
      </c>
      <c r="I442" s="318" t="str">
        <f t="shared" si="60"/>
        <v/>
      </c>
      <c r="J442" s="318"/>
      <c r="K442" s="318"/>
      <c r="L442" s="318"/>
      <c r="P442" t="str">
        <f t="shared" si="61"/>
        <v/>
      </c>
      <c r="Q442" t="str">
        <f t="shared" si="62"/>
        <v/>
      </c>
      <c r="R442" t="str">
        <f>IF(P442="","",TEXT(H442,"yyyymm")&amp;"_"&amp;P442&amp;"_"&amp;(COUNTIFS($H$64:$H$500,H442,$P$64:$P$500,P442,$A$64:$A$500,"&gt;"&amp;A442)+COUNTIFS($H$64:H442,H442,$P$64:P442,P442,$A$64:A442,A442)))</f>
        <v/>
      </c>
      <c r="S442" t="str">
        <f t="shared" si="63"/>
        <v/>
      </c>
      <c r="T442" t="str">
        <f t="shared" si="64"/>
        <v/>
      </c>
      <c r="U442" t="str">
        <f t="shared" si="65"/>
        <v/>
      </c>
      <c r="Y442" t="str">
        <f t="shared" si="66"/>
        <v/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 t="str">
        <f t="shared" si="59"/>
        <v/>
      </c>
      <c r="I443" s="318" t="str">
        <f t="shared" si="60"/>
        <v/>
      </c>
      <c r="J443" s="318"/>
      <c r="K443" s="318"/>
      <c r="L443" s="318"/>
      <c r="P443" t="str">
        <f t="shared" si="61"/>
        <v/>
      </c>
      <c r="Q443" t="str">
        <f t="shared" si="62"/>
        <v/>
      </c>
      <c r="R443" t="str">
        <f>IF(P443="","",TEXT(H443,"yyyymm")&amp;"_"&amp;P443&amp;"_"&amp;(COUNTIFS($H$64:$H$500,H443,$P$64:$P$500,P443,$A$64:$A$500,"&gt;"&amp;A443)+COUNTIFS($H$64:H443,H443,$P$64:P443,P443,$A$64:A443,A443)))</f>
        <v/>
      </c>
      <c r="S443" t="str">
        <f t="shared" si="63"/>
        <v/>
      </c>
      <c r="T443" t="str">
        <f t="shared" si="64"/>
        <v/>
      </c>
      <c r="U443" t="str">
        <f t="shared" si="65"/>
        <v/>
      </c>
      <c r="Y443" t="str">
        <f t="shared" si="66"/>
        <v/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 t="str">
        <f t="shared" si="59"/>
        <v/>
      </c>
      <c r="I444" s="318" t="str">
        <f t="shared" si="60"/>
        <v/>
      </c>
      <c r="J444" s="318"/>
      <c r="K444" s="318"/>
      <c r="L444" s="318"/>
      <c r="P444" t="str">
        <f t="shared" si="61"/>
        <v/>
      </c>
      <c r="Q444" t="str">
        <f t="shared" si="62"/>
        <v/>
      </c>
      <c r="R444" t="str">
        <f>IF(P444="","",TEXT(H444,"yyyymm")&amp;"_"&amp;P444&amp;"_"&amp;(COUNTIFS($H$64:$H$500,H444,$P$64:$P$500,P444,$A$64:$A$500,"&gt;"&amp;A444)+COUNTIFS($H$64:H444,H444,$P$64:P444,P444,$A$64:A444,A444)))</f>
        <v/>
      </c>
      <c r="S444" t="str">
        <f t="shared" si="63"/>
        <v/>
      </c>
      <c r="T444" t="str">
        <f t="shared" si="64"/>
        <v/>
      </c>
      <c r="U444" t="str">
        <f t="shared" si="65"/>
        <v/>
      </c>
      <c r="Y444" t="str">
        <f t="shared" si="66"/>
        <v/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 t="str">
        <f t="shared" si="59"/>
        <v/>
      </c>
      <c r="I445" s="318" t="str">
        <f t="shared" si="60"/>
        <v/>
      </c>
      <c r="J445" s="318"/>
      <c r="K445" s="318"/>
      <c r="L445" s="318"/>
      <c r="P445" t="str">
        <f t="shared" si="61"/>
        <v/>
      </c>
      <c r="Q445" t="str">
        <f t="shared" si="62"/>
        <v/>
      </c>
      <c r="R445" t="str">
        <f>IF(P445="","",TEXT(H445,"yyyymm")&amp;"_"&amp;P445&amp;"_"&amp;(COUNTIFS($H$64:$H$500,H445,$P$64:$P$500,P445,$A$64:$A$500,"&gt;"&amp;A445)+COUNTIFS($H$64:H445,H445,$P$64:P445,P445,$A$64:A445,A445)))</f>
        <v/>
      </c>
      <c r="S445" t="str">
        <f t="shared" si="63"/>
        <v/>
      </c>
      <c r="T445" t="str">
        <f t="shared" si="64"/>
        <v/>
      </c>
      <c r="U445" t="str">
        <f t="shared" si="65"/>
        <v/>
      </c>
      <c r="Y445" t="str">
        <f t="shared" si="66"/>
        <v/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 t="str">
        <f t="shared" si="59"/>
        <v/>
      </c>
      <c r="I446" s="318" t="str">
        <f t="shared" si="60"/>
        <v/>
      </c>
      <c r="J446" s="318"/>
      <c r="K446" s="318"/>
      <c r="L446" s="318"/>
      <c r="P446" t="str">
        <f t="shared" si="61"/>
        <v/>
      </c>
      <c r="Q446" t="str">
        <f t="shared" si="62"/>
        <v/>
      </c>
      <c r="R446" t="str">
        <f>IF(P446="","",TEXT(H446,"yyyymm")&amp;"_"&amp;P446&amp;"_"&amp;(COUNTIFS($H$64:$H$500,H446,$P$64:$P$500,P446,$A$64:$A$500,"&gt;"&amp;A446)+COUNTIFS($H$64:H446,H446,$P$64:P446,P446,$A$64:A446,A446)))</f>
        <v/>
      </c>
      <c r="S446" t="str">
        <f t="shared" si="63"/>
        <v/>
      </c>
      <c r="T446" t="str">
        <f t="shared" si="64"/>
        <v/>
      </c>
      <c r="U446" t="str">
        <f t="shared" si="65"/>
        <v/>
      </c>
      <c r="Y446" t="str">
        <f t="shared" si="66"/>
        <v/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 t="str">
        <f t="shared" si="59"/>
        <v/>
      </c>
      <c r="I447" s="318" t="str">
        <f t="shared" si="60"/>
        <v/>
      </c>
      <c r="J447" s="318"/>
      <c r="K447" s="318"/>
      <c r="L447" s="318"/>
      <c r="P447" t="str">
        <f t="shared" si="61"/>
        <v/>
      </c>
      <c r="Q447" t="str">
        <f t="shared" si="62"/>
        <v/>
      </c>
      <c r="R447" t="str">
        <f>IF(P447="","",TEXT(H447,"yyyymm")&amp;"_"&amp;P447&amp;"_"&amp;(COUNTIFS($H$64:$H$500,H447,$P$64:$P$500,P447,$A$64:$A$500,"&gt;"&amp;A447)+COUNTIFS($H$64:H447,H447,$P$64:P447,P447,$A$64:A447,A447)))</f>
        <v/>
      </c>
      <c r="S447" t="str">
        <f t="shared" si="63"/>
        <v/>
      </c>
      <c r="T447" t="str">
        <f t="shared" si="64"/>
        <v/>
      </c>
      <c r="U447" t="str">
        <f t="shared" si="65"/>
        <v/>
      </c>
      <c r="Y447" t="str">
        <f t="shared" si="66"/>
        <v/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 t="str">
        <f t="shared" ref="H448:H500" si="67">IF(A448="","",DATE(YEAR(A448),MONTH(A448),1))</f>
        <v/>
      </c>
      <c r="I448" s="318" t="str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  <v/>
      </c>
      <c r="J448" s="318"/>
      <c r="K448" s="318"/>
      <c r="L448" s="318"/>
      <c r="P448" t="str">
        <f t="shared" ref="P448:P511" si="69">IF(Q448="","",IF(Q448="이체","이체","내역"))</f>
        <v/>
      </c>
      <c r="Q448" t="str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  <v/>
      </c>
      <c r="R448" t="str">
        <f>IF(P448="","",TEXT(H448,"yyyymm")&amp;"_"&amp;P448&amp;"_"&amp;(COUNTIFS($H$64:$H$500,H448,$P$64:$P$500,P448,$A$64:$A$500,"&gt;"&amp;A448)+COUNTIFS($H$64:H448,H448,$P$64:P448,P448,$A$64:A448,A448)))</f>
        <v/>
      </c>
      <c r="S448" t="str">
        <f t="shared" ref="S448:S500" si="71">IF(Q448="","",D448)</f>
        <v/>
      </c>
      <c r="T448" t="str">
        <f t="shared" ref="T448:T500" si="72">IF(Q448="","",IF(Q448="이체",E448,IF(D448=Q448,E448,-E448)))</f>
        <v/>
      </c>
      <c r="U448" t="str">
        <f t="shared" ref="U448:U500" si="73">IF(Q448="","",IF(ISNUMBER(SEARCH("날짜 미기록",G448)),"날짜 미기록",A448))</f>
        <v/>
      </c>
      <c r="Y448" t="str">
        <f t="shared" ref="Y448:Y500" si="74">IF(A448="","",IF(I448="OK",E448,0))</f>
        <v/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 t="str">
        <f t="shared" si="67"/>
        <v/>
      </c>
      <c r="I449" s="318" t="str">
        <f t="shared" si="68"/>
        <v/>
      </c>
      <c r="J449" s="318"/>
      <c r="K449" s="318"/>
      <c r="L449" s="318"/>
      <c r="P449" t="str">
        <f t="shared" si="69"/>
        <v/>
      </c>
      <c r="Q449" t="str">
        <f t="shared" si="70"/>
        <v/>
      </c>
      <c r="R449" t="str">
        <f>IF(P449="","",TEXT(H449,"yyyymm")&amp;"_"&amp;P449&amp;"_"&amp;(COUNTIFS($H$64:$H$500,H449,$P$64:$P$500,P449,$A$64:$A$500,"&gt;"&amp;A449)+COUNTIFS($H$64:H449,H449,$P$64:P449,P449,$A$64:A449,A449)))</f>
        <v/>
      </c>
      <c r="S449" t="str">
        <f t="shared" si="71"/>
        <v/>
      </c>
      <c r="T449" t="str">
        <f t="shared" si="72"/>
        <v/>
      </c>
      <c r="U449" t="str">
        <f t="shared" si="73"/>
        <v/>
      </c>
      <c r="Y449" t="str">
        <f t="shared" si="74"/>
        <v/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 t="str">
        <f t="shared" si="67"/>
        <v/>
      </c>
      <c r="I450" s="318" t="str">
        <f t="shared" si="68"/>
        <v/>
      </c>
      <c r="J450" s="318"/>
      <c r="K450" s="318"/>
      <c r="L450" s="318"/>
      <c r="P450" t="str">
        <f t="shared" si="69"/>
        <v/>
      </c>
      <c r="Q450" t="str">
        <f t="shared" si="70"/>
        <v/>
      </c>
      <c r="R450" t="str">
        <f>IF(P450="","",TEXT(H450,"yyyymm")&amp;"_"&amp;P450&amp;"_"&amp;(COUNTIFS($H$64:$H$500,H450,$P$64:$P$500,P450,$A$64:$A$500,"&gt;"&amp;A450)+COUNTIFS($H$64:H450,H450,$P$64:P450,P450,$A$64:A450,A450)))</f>
        <v/>
      </c>
      <c r="S450" t="str">
        <f t="shared" si="71"/>
        <v/>
      </c>
      <c r="T450" t="str">
        <f t="shared" si="72"/>
        <v/>
      </c>
      <c r="U450" t="str">
        <f t="shared" si="73"/>
        <v/>
      </c>
      <c r="Y450" t="str">
        <f t="shared" si="74"/>
        <v/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 t="str">
        <f t="shared" si="67"/>
        <v/>
      </c>
      <c r="I451" s="318" t="str">
        <f t="shared" si="68"/>
        <v/>
      </c>
      <c r="J451" s="318"/>
      <c r="K451" s="318"/>
      <c r="L451" s="318"/>
      <c r="P451" t="str">
        <f t="shared" si="69"/>
        <v/>
      </c>
      <c r="Q451" t="str">
        <f t="shared" si="70"/>
        <v/>
      </c>
      <c r="R451" t="str">
        <f>IF(P451="","",TEXT(H451,"yyyymm")&amp;"_"&amp;P451&amp;"_"&amp;(COUNTIFS($H$64:$H$500,H451,$P$64:$P$500,P451,$A$64:$A$500,"&gt;"&amp;A451)+COUNTIFS($H$64:H451,H451,$P$64:P451,P451,$A$64:A451,A451)))</f>
        <v/>
      </c>
      <c r="S451" t="str">
        <f t="shared" si="71"/>
        <v/>
      </c>
      <c r="T451" t="str">
        <f t="shared" si="72"/>
        <v/>
      </c>
      <c r="U451" t="str">
        <f t="shared" si="73"/>
        <v/>
      </c>
      <c r="Y451" t="str">
        <f t="shared" si="74"/>
        <v/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 t="str">
        <f t="shared" si="67"/>
        <v/>
      </c>
      <c r="I452" s="318" t="str">
        <f t="shared" si="68"/>
        <v/>
      </c>
      <c r="J452" s="318"/>
      <c r="K452" s="318"/>
      <c r="L452" s="318"/>
      <c r="P452" t="str">
        <f t="shared" si="69"/>
        <v/>
      </c>
      <c r="Q452" t="str">
        <f t="shared" si="70"/>
        <v/>
      </c>
      <c r="R452" t="str">
        <f>IF(P452="","",TEXT(H452,"yyyymm")&amp;"_"&amp;P452&amp;"_"&amp;(COUNTIFS($H$64:$H$500,H452,$P$64:$P$500,P452,$A$64:$A$500,"&gt;"&amp;A452)+COUNTIFS($H$64:H452,H452,$P$64:P452,P452,$A$64:A452,A452)))</f>
        <v/>
      </c>
      <c r="S452" t="str">
        <f t="shared" si="71"/>
        <v/>
      </c>
      <c r="T452" t="str">
        <f t="shared" si="72"/>
        <v/>
      </c>
      <c r="U452" t="str">
        <f t="shared" si="73"/>
        <v/>
      </c>
      <c r="Y452" t="str">
        <f t="shared" si="74"/>
        <v/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 t="str">
        <f t="shared" si="67"/>
        <v/>
      </c>
      <c r="I453" s="318" t="str">
        <f t="shared" si="68"/>
        <v/>
      </c>
      <c r="J453" s="318"/>
      <c r="K453" s="318"/>
      <c r="L453" s="318"/>
      <c r="P453" t="str">
        <f t="shared" si="69"/>
        <v/>
      </c>
      <c r="Q453" t="str">
        <f t="shared" si="70"/>
        <v/>
      </c>
      <c r="R453" t="str">
        <f>IF(P453="","",TEXT(H453,"yyyymm")&amp;"_"&amp;P453&amp;"_"&amp;(COUNTIFS($H$64:$H$500,H453,$P$64:$P$500,P453,$A$64:$A$500,"&gt;"&amp;A453)+COUNTIFS($H$64:H453,H453,$P$64:P453,P453,$A$64:A453,A453)))</f>
        <v/>
      </c>
      <c r="S453" t="str">
        <f t="shared" si="71"/>
        <v/>
      </c>
      <c r="T453" t="str">
        <f t="shared" si="72"/>
        <v/>
      </c>
      <c r="U453" t="str">
        <f t="shared" si="73"/>
        <v/>
      </c>
      <c r="Y453" t="str">
        <f t="shared" si="74"/>
        <v/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 t="str">
        <f t="shared" si="67"/>
        <v/>
      </c>
      <c r="I454" s="318" t="str">
        <f t="shared" si="68"/>
        <v/>
      </c>
      <c r="J454" s="318"/>
      <c r="K454" s="318"/>
      <c r="L454" s="318"/>
      <c r="P454" t="str">
        <f t="shared" si="69"/>
        <v/>
      </c>
      <c r="Q454" t="str">
        <f t="shared" si="70"/>
        <v/>
      </c>
      <c r="R454" t="str">
        <f>IF(P454="","",TEXT(H454,"yyyymm")&amp;"_"&amp;P454&amp;"_"&amp;(COUNTIFS($H$64:$H$500,H454,$P$64:$P$500,P454,$A$64:$A$500,"&gt;"&amp;A454)+COUNTIFS($H$64:H454,H454,$P$64:P454,P454,$A$64:A454,A454)))</f>
        <v/>
      </c>
      <c r="S454" t="str">
        <f t="shared" si="71"/>
        <v/>
      </c>
      <c r="T454" t="str">
        <f t="shared" si="72"/>
        <v/>
      </c>
      <c r="U454" t="str">
        <f t="shared" si="73"/>
        <v/>
      </c>
      <c r="Y454" t="str">
        <f t="shared" si="74"/>
        <v/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 t="str">
        <f t="shared" si="67"/>
        <v/>
      </c>
      <c r="I455" s="318" t="str">
        <f t="shared" si="68"/>
        <v/>
      </c>
      <c r="J455" s="318"/>
      <c r="K455" s="318"/>
      <c r="L455" s="318"/>
      <c r="P455" t="str">
        <f t="shared" si="69"/>
        <v/>
      </c>
      <c r="Q455" t="str">
        <f t="shared" si="70"/>
        <v/>
      </c>
      <c r="R455" t="str">
        <f>IF(P455="","",TEXT(H455,"yyyymm")&amp;"_"&amp;P455&amp;"_"&amp;(COUNTIFS($H$64:$H$500,H455,$P$64:$P$500,P455,$A$64:$A$500,"&gt;"&amp;A455)+COUNTIFS($H$64:H455,H455,$P$64:P455,P455,$A$64:A455,A455)))</f>
        <v/>
      </c>
      <c r="S455" t="str">
        <f t="shared" si="71"/>
        <v/>
      </c>
      <c r="T455" t="str">
        <f t="shared" si="72"/>
        <v/>
      </c>
      <c r="U455" t="str">
        <f t="shared" si="73"/>
        <v/>
      </c>
      <c r="Y455" t="str">
        <f t="shared" si="74"/>
        <v/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 t="str">
        <f t="shared" si="67"/>
        <v/>
      </c>
      <c r="I456" s="318" t="str">
        <f t="shared" si="68"/>
        <v/>
      </c>
      <c r="J456" s="318"/>
      <c r="K456" s="318"/>
      <c r="L456" s="318"/>
      <c r="P456" t="str">
        <f t="shared" si="69"/>
        <v/>
      </c>
      <c r="Q456" t="str">
        <f t="shared" si="70"/>
        <v/>
      </c>
      <c r="R456" t="str">
        <f>IF(P456="","",TEXT(H456,"yyyymm")&amp;"_"&amp;P456&amp;"_"&amp;(COUNTIFS($H$64:$H$500,H456,$P$64:$P$500,P456,$A$64:$A$500,"&gt;"&amp;A456)+COUNTIFS($H$64:H456,H456,$P$64:P456,P456,$A$64:A456,A456)))</f>
        <v/>
      </c>
      <c r="S456" t="str">
        <f t="shared" si="71"/>
        <v/>
      </c>
      <c r="T456" t="str">
        <f t="shared" si="72"/>
        <v/>
      </c>
      <c r="U456" t="str">
        <f t="shared" si="73"/>
        <v/>
      </c>
      <c r="Y456" t="str">
        <f t="shared" si="74"/>
        <v/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 t="str">
        <f t="shared" si="67"/>
        <v/>
      </c>
      <c r="I457" s="318" t="str">
        <f t="shared" si="68"/>
        <v/>
      </c>
      <c r="J457" s="318"/>
      <c r="K457" s="318"/>
      <c r="L457" s="318"/>
      <c r="P457" t="str">
        <f t="shared" si="69"/>
        <v/>
      </c>
      <c r="Q457" t="str">
        <f t="shared" si="70"/>
        <v/>
      </c>
      <c r="R457" t="str">
        <f>IF(P457="","",TEXT(H457,"yyyymm")&amp;"_"&amp;P457&amp;"_"&amp;(COUNTIFS($H$64:$H$500,H457,$P$64:$P$500,P457,$A$64:$A$500,"&gt;"&amp;A457)+COUNTIFS($H$64:H457,H457,$P$64:P457,P457,$A$64:A457,A457)))</f>
        <v/>
      </c>
      <c r="S457" t="str">
        <f t="shared" si="71"/>
        <v/>
      </c>
      <c r="T457" t="str">
        <f t="shared" si="72"/>
        <v/>
      </c>
      <c r="U457" t="str">
        <f t="shared" si="73"/>
        <v/>
      </c>
      <c r="Y457" t="str">
        <f t="shared" si="74"/>
        <v/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 t="str">
        <f t="shared" si="67"/>
        <v/>
      </c>
      <c r="I458" s="318" t="str">
        <f t="shared" si="68"/>
        <v/>
      </c>
      <c r="J458" s="318"/>
      <c r="K458" s="318"/>
      <c r="L458" s="318"/>
      <c r="P458" t="str">
        <f t="shared" si="69"/>
        <v/>
      </c>
      <c r="Q458" t="str">
        <f t="shared" si="70"/>
        <v/>
      </c>
      <c r="R458" t="str">
        <f>IF(P458="","",TEXT(H458,"yyyymm")&amp;"_"&amp;P458&amp;"_"&amp;(COUNTIFS($H$64:$H$500,H458,$P$64:$P$500,P458,$A$64:$A$500,"&gt;"&amp;A458)+COUNTIFS($H$64:H458,H458,$P$64:P458,P458,$A$64:A458,A458)))</f>
        <v/>
      </c>
      <c r="S458" t="str">
        <f t="shared" si="71"/>
        <v/>
      </c>
      <c r="T458" t="str">
        <f t="shared" si="72"/>
        <v/>
      </c>
      <c r="U458" t="str">
        <f t="shared" si="73"/>
        <v/>
      </c>
      <c r="Y458" t="str">
        <f t="shared" si="74"/>
        <v/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 t="str">
        <f t="shared" si="67"/>
        <v/>
      </c>
      <c r="I459" s="318" t="str">
        <f t="shared" si="68"/>
        <v/>
      </c>
      <c r="J459" s="318"/>
      <c r="K459" s="318"/>
      <c r="L459" s="318"/>
      <c r="P459" t="str">
        <f t="shared" si="69"/>
        <v/>
      </c>
      <c r="Q459" t="str">
        <f t="shared" si="70"/>
        <v/>
      </c>
      <c r="R459" t="str">
        <f>IF(P459="","",TEXT(H459,"yyyymm")&amp;"_"&amp;P459&amp;"_"&amp;(COUNTIFS($H$64:$H$500,H459,$P$64:$P$500,P459,$A$64:$A$500,"&gt;"&amp;A459)+COUNTIFS($H$64:H459,H459,$P$64:P459,P459,$A$64:A459,A459)))</f>
        <v/>
      </c>
      <c r="S459" t="str">
        <f t="shared" si="71"/>
        <v/>
      </c>
      <c r="T459" t="str">
        <f t="shared" si="72"/>
        <v/>
      </c>
      <c r="U459" t="str">
        <f t="shared" si="73"/>
        <v/>
      </c>
      <c r="Y459" t="str">
        <f t="shared" si="74"/>
        <v/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 t="str">
        <f t="shared" si="67"/>
        <v/>
      </c>
      <c r="I460" s="318" t="str">
        <f t="shared" si="68"/>
        <v/>
      </c>
      <c r="J460" s="318"/>
      <c r="K460" s="318"/>
      <c r="L460" s="318"/>
      <c r="P460" t="str">
        <f t="shared" si="69"/>
        <v/>
      </c>
      <c r="Q460" t="str">
        <f t="shared" si="70"/>
        <v/>
      </c>
      <c r="R460" t="str">
        <f>IF(P460="","",TEXT(H460,"yyyymm")&amp;"_"&amp;P460&amp;"_"&amp;(COUNTIFS($H$64:$H$500,H460,$P$64:$P$500,P460,$A$64:$A$500,"&gt;"&amp;A460)+COUNTIFS($H$64:H460,H460,$P$64:P460,P460,$A$64:A460,A460)))</f>
        <v/>
      </c>
      <c r="S460" t="str">
        <f t="shared" si="71"/>
        <v/>
      </c>
      <c r="T460" t="str">
        <f t="shared" si="72"/>
        <v/>
      </c>
      <c r="U460" t="str">
        <f t="shared" si="73"/>
        <v/>
      </c>
      <c r="Y460" t="str">
        <f t="shared" si="74"/>
        <v/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 t="str">
        <f t="shared" si="67"/>
        <v/>
      </c>
      <c r="I461" s="318" t="str">
        <f t="shared" si="68"/>
        <v/>
      </c>
      <c r="J461" s="318"/>
      <c r="K461" s="318"/>
      <c r="L461" s="318"/>
      <c r="P461" t="str">
        <f t="shared" si="69"/>
        <v/>
      </c>
      <c r="Q461" t="str">
        <f t="shared" si="70"/>
        <v/>
      </c>
      <c r="R461" t="str">
        <f>IF(P461="","",TEXT(H461,"yyyymm")&amp;"_"&amp;P461&amp;"_"&amp;(COUNTIFS($H$64:$H$500,H461,$P$64:$P$500,P461,$A$64:$A$500,"&gt;"&amp;A461)+COUNTIFS($H$64:H461,H461,$P$64:P461,P461,$A$64:A461,A461)))</f>
        <v/>
      </c>
      <c r="S461" t="str">
        <f t="shared" si="71"/>
        <v/>
      </c>
      <c r="T461" t="str">
        <f t="shared" si="72"/>
        <v/>
      </c>
      <c r="U461" t="str">
        <f t="shared" si="73"/>
        <v/>
      </c>
      <c r="Y461" t="str">
        <f t="shared" si="74"/>
        <v/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 t="str">
        <f t="shared" si="67"/>
        <v/>
      </c>
      <c r="I462" s="318" t="str">
        <f t="shared" si="68"/>
        <v/>
      </c>
      <c r="J462" s="318"/>
      <c r="K462" s="318"/>
      <c r="L462" s="318"/>
      <c r="P462" t="str">
        <f t="shared" si="69"/>
        <v/>
      </c>
      <c r="Q462" t="str">
        <f t="shared" si="70"/>
        <v/>
      </c>
      <c r="R462" t="str">
        <f>IF(P462="","",TEXT(H462,"yyyymm")&amp;"_"&amp;P462&amp;"_"&amp;(COUNTIFS($H$64:$H$500,H462,$P$64:$P$500,P462,$A$64:$A$500,"&gt;"&amp;A462)+COUNTIFS($H$64:H462,H462,$P$64:P462,P462,$A$64:A462,A462)))</f>
        <v/>
      </c>
      <c r="S462" t="str">
        <f t="shared" si="71"/>
        <v/>
      </c>
      <c r="T462" t="str">
        <f t="shared" si="72"/>
        <v/>
      </c>
      <c r="U462" t="str">
        <f t="shared" si="73"/>
        <v/>
      </c>
      <c r="Y462" t="str">
        <f t="shared" si="74"/>
        <v/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 t="str">
        <f t="shared" si="67"/>
        <v/>
      </c>
      <c r="I463" s="318" t="str">
        <f t="shared" si="68"/>
        <v/>
      </c>
      <c r="J463" s="318"/>
      <c r="K463" s="318"/>
      <c r="L463" s="318"/>
      <c r="P463" t="str">
        <f t="shared" si="69"/>
        <v/>
      </c>
      <c r="Q463" t="str">
        <f t="shared" si="70"/>
        <v/>
      </c>
      <c r="R463" t="str">
        <f>IF(P463="","",TEXT(H463,"yyyymm")&amp;"_"&amp;P463&amp;"_"&amp;(COUNTIFS($H$64:$H$500,H463,$P$64:$P$500,P463,$A$64:$A$500,"&gt;"&amp;A463)+COUNTIFS($H$64:H463,H463,$P$64:P463,P463,$A$64:A463,A463)))</f>
        <v/>
      </c>
      <c r="S463" t="str">
        <f t="shared" si="71"/>
        <v/>
      </c>
      <c r="T463" t="str">
        <f t="shared" si="72"/>
        <v/>
      </c>
      <c r="U463" t="str">
        <f t="shared" si="73"/>
        <v/>
      </c>
      <c r="Y463" t="str">
        <f t="shared" si="74"/>
        <v/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 t="str">
        <f t="shared" si="67"/>
        <v/>
      </c>
      <c r="I464" s="318" t="str">
        <f t="shared" si="68"/>
        <v/>
      </c>
      <c r="J464" s="318"/>
      <c r="K464" s="318"/>
      <c r="L464" s="318"/>
      <c r="P464" t="str">
        <f t="shared" si="69"/>
        <v/>
      </c>
      <c r="Q464" t="str">
        <f t="shared" si="70"/>
        <v/>
      </c>
      <c r="R464" t="str">
        <f>IF(P464="","",TEXT(H464,"yyyymm")&amp;"_"&amp;P464&amp;"_"&amp;(COUNTIFS($H$64:$H$500,H464,$P$64:$P$500,P464,$A$64:$A$500,"&gt;"&amp;A464)+COUNTIFS($H$64:H464,H464,$P$64:P464,P464,$A$64:A464,A464)))</f>
        <v/>
      </c>
      <c r="S464" t="str">
        <f t="shared" si="71"/>
        <v/>
      </c>
      <c r="T464" t="str">
        <f t="shared" si="72"/>
        <v/>
      </c>
      <c r="U464" t="str">
        <f t="shared" si="73"/>
        <v/>
      </c>
      <c r="Y464" t="str">
        <f t="shared" si="74"/>
        <v/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 t="str">
        <f t="shared" si="67"/>
        <v/>
      </c>
      <c r="I465" s="318" t="str">
        <f t="shared" si="68"/>
        <v/>
      </c>
      <c r="J465" s="318"/>
      <c r="K465" s="318"/>
      <c r="L465" s="318"/>
      <c r="P465" t="str">
        <f t="shared" si="69"/>
        <v/>
      </c>
      <c r="Q465" t="str">
        <f t="shared" si="70"/>
        <v/>
      </c>
      <c r="R465" t="str">
        <f>IF(P465="","",TEXT(H465,"yyyymm")&amp;"_"&amp;P465&amp;"_"&amp;(COUNTIFS($H$64:$H$500,H465,$P$64:$P$500,P465,$A$64:$A$500,"&gt;"&amp;A465)+COUNTIFS($H$64:H465,H465,$P$64:P465,P465,$A$64:A465,A465)))</f>
        <v/>
      </c>
      <c r="S465" t="str">
        <f t="shared" si="71"/>
        <v/>
      </c>
      <c r="T465" t="str">
        <f t="shared" si="72"/>
        <v/>
      </c>
      <c r="U465" t="str">
        <f t="shared" si="73"/>
        <v/>
      </c>
      <c r="Y465" t="str">
        <f t="shared" si="74"/>
        <v/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 t="str">
        <f t="shared" si="67"/>
        <v/>
      </c>
      <c r="I466" s="318" t="str">
        <f t="shared" si="68"/>
        <v/>
      </c>
      <c r="J466" s="318"/>
      <c r="K466" s="318"/>
      <c r="L466" s="318"/>
      <c r="P466" t="str">
        <f t="shared" si="69"/>
        <v/>
      </c>
      <c r="Q466" t="str">
        <f t="shared" si="70"/>
        <v/>
      </c>
      <c r="R466" t="str">
        <f>IF(P466="","",TEXT(H466,"yyyymm")&amp;"_"&amp;P466&amp;"_"&amp;(COUNTIFS($H$64:$H$500,H466,$P$64:$P$500,P466,$A$64:$A$500,"&gt;"&amp;A466)+COUNTIFS($H$64:H466,H466,$P$64:P466,P466,$A$64:A466,A466)))</f>
        <v/>
      </c>
      <c r="S466" t="str">
        <f t="shared" si="71"/>
        <v/>
      </c>
      <c r="T466" t="str">
        <f t="shared" si="72"/>
        <v/>
      </c>
      <c r="U466" t="str">
        <f t="shared" si="73"/>
        <v/>
      </c>
      <c r="Y466" t="str">
        <f t="shared" si="74"/>
        <v/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 t="str">
        <f t="shared" si="67"/>
        <v/>
      </c>
      <c r="I467" s="318" t="str">
        <f t="shared" si="68"/>
        <v/>
      </c>
      <c r="J467" s="318"/>
      <c r="K467" s="318"/>
      <c r="L467" s="318"/>
      <c r="P467" t="str">
        <f t="shared" si="69"/>
        <v/>
      </c>
      <c r="Q467" t="str">
        <f t="shared" si="70"/>
        <v/>
      </c>
      <c r="R467" t="str">
        <f>IF(P467="","",TEXT(H467,"yyyymm")&amp;"_"&amp;P467&amp;"_"&amp;(COUNTIFS($H$64:$H$500,H467,$P$64:$P$500,P467,$A$64:$A$500,"&gt;"&amp;A467)+COUNTIFS($H$64:H467,H467,$P$64:P467,P467,$A$64:A467,A467)))</f>
        <v/>
      </c>
      <c r="S467" t="str">
        <f t="shared" si="71"/>
        <v/>
      </c>
      <c r="T467" t="str">
        <f t="shared" si="72"/>
        <v/>
      </c>
      <c r="U467" t="str">
        <f t="shared" si="73"/>
        <v/>
      </c>
      <c r="Y467" t="str">
        <f t="shared" si="74"/>
        <v/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 t="str">
        <f t="shared" si="67"/>
        <v/>
      </c>
      <c r="I468" s="318" t="str">
        <f t="shared" si="68"/>
        <v/>
      </c>
      <c r="J468" s="318"/>
      <c r="K468" s="318"/>
      <c r="L468" s="318"/>
      <c r="P468" t="str">
        <f t="shared" si="69"/>
        <v/>
      </c>
      <c r="Q468" t="str">
        <f t="shared" si="70"/>
        <v/>
      </c>
      <c r="R468" t="str">
        <f>IF(P468="","",TEXT(H468,"yyyymm")&amp;"_"&amp;P468&amp;"_"&amp;(COUNTIFS($H$64:$H$500,H468,$P$64:$P$500,P468,$A$64:$A$500,"&gt;"&amp;A468)+COUNTIFS($H$64:H468,H468,$P$64:P468,P468,$A$64:A468,A468)))</f>
        <v/>
      </c>
      <c r="S468" t="str">
        <f t="shared" si="71"/>
        <v/>
      </c>
      <c r="T468" t="str">
        <f t="shared" si="72"/>
        <v/>
      </c>
      <c r="U468" t="str">
        <f t="shared" si="73"/>
        <v/>
      </c>
      <c r="Y468" t="str">
        <f t="shared" si="74"/>
        <v/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 t="str">
        <f t="shared" si="67"/>
        <v/>
      </c>
      <c r="I469" s="318" t="str">
        <f t="shared" si="68"/>
        <v/>
      </c>
      <c r="J469" s="318"/>
      <c r="K469" s="318"/>
      <c r="L469" s="318"/>
      <c r="P469" t="str">
        <f t="shared" si="69"/>
        <v/>
      </c>
      <c r="Q469" t="str">
        <f t="shared" si="70"/>
        <v/>
      </c>
      <c r="R469" t="str">
        <f>IF(P469="","",TEXT(H469,"yyyymm")&amp;"_"&amp;P469&amp;"_"&amp;(COUNTIFS($H$64:$H$500,H469,$P$64:$P$500,P469,$A$64:$A$500,"&gt;"&amp;A469)+COUNTIFS($H$64:H469,H469,$P$64:P469,P469,$A$64:A469,A469)))</f>
        <v/>
      </c>
      <c r="S469" t="str">
        <f t="shared" si="71"/>
        <v/>
      </c>
      <c r="T469" t="str">
        <f t="shared" si="72"/>
        <v/>
      </c>
      <c r="U469" t="str">
        <f t="shared" si="73"/>
        <v/>
      </c>
      <c r="Y469" t="str">
        <f t="shared" si="74"/>
        <v/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 t="str">
        <f t="shared" si="67"/>
        <v/>
      </c>
      <c r="I470" s="318" t="str">
        <f t="shared" si="68"/>
        <v/>
      </c>
      <c r="J470" s="318"/>
      <c r="K470" s="318"/>
      <c r="L470" s="318"/>
      <c r="P470" t="str">
        <f t="shared" si="69"/>
        <v/>
      </c>
      <c r="Q470" t="str">
        <f t="shared" si="70"/>
        <v/>
      </c>
      <c r="R470" t="str">
        <f>IF(P470="","",TEXT(H470,"yyyymm")&amp;"_"&amp;P470&amp;"_"&amp;(COUNTIFS($H$64:$H$500,H470,$P$64:$P$500,P470,$A$64:$A$500,"&gt;"&amp;A470)+COUNTIFS($H$64:H470,H470,$P$64:P470,P470,$A$64:A470,A470)))</f>
        <v/>
      </c>
      <c r="S470" t="str">
        <f t="shared" si="71"/>
        <v/>
      </c>
      <c r="T470" t="str">
        <f t="shared" si="72"/>
        <v/>
      </c>
      <c r="U470" t="str">
        <f t="shared" si="73"/>
        <v/>
      </c>
      <c r="Y470" t="str">
        <f t="shared" si="74"/>
        <v/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 t="str">
        <f t="shared" si="67"/>
        <v/>
      </c>
      <c r="I471" s="318" t="str">
        <f t="shared" si="68"/>
        <v/>
      </c>
      <c r="J471" s="318"/>
      <c r="K471" s="318"/>
      <c r="L471" s="318"/>
      <c r="P471" t="str">
        <f t="shared" si="69"/>
        <v/>
      </c>
      <c r="Q471" t="str">
        <f t="shared" si="70"/>
        <v/>
      </c>
      <c r="R471" t="str">
        <f>IF(P471="","",TEXT(H471,"yyyymm")&amp;"_"&amp;P471&amp;"_"&amp;(COUNTIFS($H$64:$H$500,H471,$P$64:$P$500,P471,$A$64:$A$500,"&gt;"&amp;A471)+COUNTIFS($H$64:H471,H471,$P$64:P471,P471,$A$64:A471,A471)))</f>
        <v/>
      </c>
      <c r="S471" t="str">
        <f t="shared" si="71"/>
        <v/>
      </c>
      <c r="T471" t="str">
        <f t="shared" si="72"/>
        <v/>
      </c>
      <c r="U471" t="str">
        <f t="shared" si="73"/>
        <v/>
      </c>
      <c r="Y471" t="str">
        <f t="shared" si="74"/>
        <v/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 t="str">
        <f t="shared" si="67"/>
        <v/>
      </c>
      <c r="I472" s="318" t="str">
        <f t="shared" si="68"/>
        <v/>
      </c>
      <c r="J472" s="318"/>
      <c r="K472" s="318"/>
      <c r="L472" s="318"/>
      <c r="P472" t="str">
        <f t="shared" si="69"/>
        <v/>
      </c>
      <c r="Q472" t="str">
        <f t="shared" si="70"/>
        <v/>
      </c>
      <c r="R472" t="str">
        <f>IF(P472="","",TEXT(H472,"yyyymm")&amp;"_"&amp;P472&amp;"_"&amp;(COUNTIFS($H$64:$H$500,H472,$P$64:$P$500,P472,$A$64:$A$500,"&gt;"&amp;A472)+COUNTIFS($H$64:H472,H472,$P$64:P472,P472,$A$64:A472,A472)))</f>
        <v/>
      </c>
      <c r="S472" t="str">
        <f t="shared" si="71"/>
        <v/>
      </c>
      <c r="T472" t="str">
        <f t="shared" si="72"/>
        <v/>
      </c>
      <c r="U472" t="str">
        <f t="shared" si="73"/>
        <v/>
      </c>
      <c r="Y472" t="str">
        <f t="shared" si="74"/>
        <v/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 t="str">
        <f t="shared" si="67"/>
        <v/>
      </c>
      <c r="I473" s="318" t="str">
        <f t="shared" si="68"/>
        <v/>
      </c>
      <c r="J473" s="318"/>
      <c r="K473" s="318"/>
      <c r="L473" s="318"/>
      <c r="P473" t="str">
        <f t="shared" si="69"/>
        <v/>
      </c>
      <c r="Q473" t="str">
        <f t="shared" si="70"/>
        <v/>
      </c>
      <c r="R473" t="str">
        <f>IF(P473="","",TEXT(H473,"yyyymm")&amp;"_"&amp;P473&amp;"_"&amp;(COUNTIFS($H$64:$H$500,H473,$P$64:$P$500,P473,$A$64:$A$500,"&gt;"&amp;A473)+COUNTIFS($H$64:H473,H473,$P$64:P473,P473,$A$64:A473,A473)))</f>
        <v/>
      </c>
      <c r="S473" t="str">
        <f t="shared" si="71"/>
        <v/>
      </c>
      <c r="T473" t="str">
        <f t="shared" si="72"/>
        <v/>
      </c>
      <c r="U473" t="str">
        <f t="shared" si="73"/>
        <v/>
      </c>
      <c r="Y473" t="str">
        <f t="shared" si="74"/>
        <v/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 t="str">
        <f t="shared" si="67"/>
        <v/>
      </c>
      <c r="I474" s="318" t="str">
        <f t="shared" si="68"/>
        <v/>
      </c>
      <c r="J474" s="318"/>
      <c r="K474" s="318"/>
      <c r="L474" s="318"/>
      <c r="P474" t="str">
        <f t="shared" si="69"/>
        <v/>
      </c>
      <c r="Q474" t="str">
        <f t="shared" si="70"/>
        <v/>
      </c>
      <c r="R474" t="str">
        <f>IF(P474="","",TEXT(H474,"yyyymm")&amp;"_"&amp;P474&amp;"_"&amp;(COUNTIFS($H$64:$H$500,H474,$P$64:$P$500,P474,$A$64:$A$500,"&gt;"&amp;A474)+COUNTIFS($H$64:H474,H474,$P$64:P474,P474,$A$64:A474,A474)))</f>
        <v/>
      </c>
      <c r="S474" t="str">
        <f t="shared" si="71"/>
        <v/>
      </c>
      <c r="T474" t="str">
        <f t="shared" si="72"/>
        <v/>
      </c>
      <c r="U474" t="str">
        <f t="shared" si="73"/>
        <v/>
      </c>
      <c r="Y474" t="str">
        <f t="shared" si="74"/>
        <v/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 t="str">
        <f t="shared" si="67"/>
        <v/>
      </c>
      <c r="I475" s="318" t="str">
        <f t="shared" si="68"/>
        <v/>
      </c>
      <c r="J475" s="318"/>
      <c r="K475" s="318"/>
      <c r="L475" s="318"/>
      <c r="P475" t="str">
        <f t="shared" si="69"/>
        <v/>
      </c>
      <c r="Q475" t="str">
        <f t="shared" si="70"/>
        <v/>
      </c>
      <c r="R475" t="str">
        <f>IF(P475="","",TEXT(H475,"yyyymm")&amp;"_"&amp;P475&amp;"_"&amp;(COUNTIFS($H$64:$H$500,H475,$P$64:$P$500,P475,$A$64:$A$500,"&gt;"&amp;A475)+COUNTIFS($H$64:H475,H475,$P$64:P475,P475,$A$64:A475,A475)))</f>
        <v/>
      </c>
      <c r="S475" t="str">
        <f t="shared" si="71"/>
        <v/>
      </c>
      <c r="T475" t="str">
        <f t="shared" si="72"/>
        <v/>
      </c>
      <c r="U475" t="str">
        <f t="shared" si="73"/>
        <v/>
      </c>
      <c r="Y475" t="str">
        <f t="shared" si="74"/>
        <v/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 t="str">
        <f t="shared" si="67"/>
        <v/>
      </c>
      <c r="I476" s="318" t="str">
        <f t="shared" si="68"/>
        <v/>
      </c>
      <c r="J476" s="318"/>
      <c r="K476" s="318"/>
      <c r="L476" s="318"/>
      <c r="P476" t="str">
        <f t="shared" si="69"/>
        <v/>
      </c>
      <c r="Q476" t="str">
        <f t="shared" si="70"/>
        <v/>
      </c>
      <c r="R476" t="str">
        <f>IF(P476="","",TEXT(H476,"yyyymm")&amp;"_"&amp;P476&amp;"_"&amp;(COUNTIFS($H$64:$H$500,H476,$P$64:$P$500,P476,$A$64:$A$500,"&gt;"&amp;A476)+COUNTIFS($H$64:H476,H476,$P$64:P476,P476,$A$64:A476,A476)))</f>
        <v/>
      </c>
      <c r="S476" t="str">
        <f t="shared" si="71"/>
        <v/>
      </c>
      <c r="T476" t="str">
        <f t="shared" si="72"/>
        <v/>
      </c>
      <c r="U476" t="str">
        <f t="shared" si="73"/>
        <v/>
      </c>
      <c r="Y476" t="str">
        <f t="shared" si="74"/>
        <v/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 t="str">
        <f t="shared" si="67"/>
        <v/>
      </c>
      <c r="I477" s="318" t="str">
        <f t="shared" si="68"/>
        <v/>
      </c>
      <c r="J477" s="318"/>
      <c r="K477" s="318"/>
      <c r="L477" s="318"/>
      <c r="P477" t="str">
        <f t="shared" si="69"/>
        <v/>
      </c>
      <c r="Q477" t="str">
        <f t="shared" si="70"/>
        <v/>
      </c>
      <c r="R477" t="str">
        <f>IF(P477="","",TEXT(H477,"yyyymm")&amp;"_"&amp;P477&amp;"_"&amp;(COUNTIFS($H$64:$H$500,H477,$P$64:$P$500,P477,$A$64:$A$500,"&gt;"&amp;A477)+COUNTIFS($H$64:H477,H477,$P$64:P477,P477,$A$64:A477,A477)))</f>
        <v/>
      </c>
      <c r="S477" t="str">
        <f t="shared" si="71"/>
        <v/>
      </c>
      <c r="T477" t="str">
        <f t="shared" si="72"/>
        <v/>
      </c>
      <c r="U477" t="str">
        <f t="shared" si="73"/>
        <v/>
      </c>
      <c r="Y477" t="str">
        <f t="shared" si="74"/>
        <v/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 t="str">
        <f t="shared" si="67"/>
        <v/>
      </c>
      <c r="I478" s="318" t="str">
        <f t="shared" si="68"/>
        <v/>
      </c>
      <c r="J478" s="318"/>
      <c r="K478" s="318"/>
      <c r="L478" s="318"/>
      <c r="P478" t="str">
        <f t="shared" si="69"/>
        <v/>
      </c>
      <c r="Q478" t="str">
        <f t="shared" si="70"/>
        <v/>
      </c>
      <c r="R478" t="str">
        <f>IF(P478="","",TEXT(H478,"yyyymm")&amp;"_"&amp;P478&amp;"_"&amp;(COUNTIFS($H$64:$H$500,H478,$P$64:$P$500,P478,$A$64:$A$500,"&gt;"&amp;A478)+COUNTIFS($H$64:H478,H478,$P$64:P478,P478,$A$64:A478,A478)))</f>
        <v/>
      </c>
      <c r="S478" t="str">
        <f t="shared" si="71"/>
        <v/>
      </c>
      <c r="T478" t="str">
        <f t="shared" si="72"/>
        <v/>
      </c>
      <c r="U478" t="str">
        <f t="shared" si="73"/>
        <v/>
      </c>
      <c r="Y478" t="str">
        <f t="shared" si="74"/>
        <v/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 t="str">
        <f t="shared" si="67"/>
        <v/>
      </c>
      <c r="I479" s="318" t="str">
        <f t="shared" si="68"/>
        <v/>
      </c>
      <c r="J479" s="318"/>
      <c r="K479" s="318"/>
      <c r="L479" s="318"/>
      <c r="P479" t="str">
        <f t="shared" si="69"/>
        <v/>
      </c>
      <c r="Q479" t="str">
        <f t="shared" si="70"/>
        <v/>
      </c>
      <c r="R479" t="str">
        <f>IF(P479="","",TEXT(H479,"yyyymm")&amp;"_"&amp;P479&amp;"_"&amp;(COUNTIFS($H$64:$H$500,H479,$P$64:$P$500,P479,$A$64:$A$500,"&gt;"&amp;A479)+COUNTIFS($H$64:H479,H479,$P$64:P479,P479,$A$64:A479,A479)))</f>
        <v/>
      </c>
      <c r="S479" t="str">
        <f t="shared" si="71"/>
        <v/>
      </c>
      <c r="T479" t="str">
        <f t="shared" si="72"/>
        <v/>
      </c>
      <c r="U479" t="str">
        <f t="shared" si="73"/>
        <v/>
      </c>
      <c r="Y479" t="str">
        <f t="shared" si="74"/>
        <v/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 t="str">
        <f t="shared" si="67"/>
        <v/>
      </c>
      <c r="I480" s="318" t="str">
        <f t="shared" si="68"/>
        <v/>
      </c>
      <c r="J480" s="318"/>
      <c r="K480" s="318"/>
      <c r="L480" s="318"/>
      <c r="P480" t="str">
        <f t="shared" si="69"/>
        <v/>
      </c>
      <c r="Q480" t="str">
        <f t="shared" si="70"/>
        <v/>
      </c>
      <c r="R480" t="str">
        <f>IF(P480="","",TEXT(H480,"yyyymm")&amp;"_"&amp;P480&amp;"_"&amp;(COUNTIFS($H$64:$H$500,H480,$P$64:$P$500,P480,$A$64:$A$500,"&gt;"&amp;A480)+COUNTIFS($H$64:H480,H480,$P$64:P480,P480,$A$64:A480,A480)))</f>
        <v/>
      </c>
      <c r="S480" t="str">
        <f t="shared" si="71"/>
        <v/>
      </c>
      <c r="T480" t="str">
        <f t="shared" si="72"/>
        <v/>
      </c>
      <c r="U480" t="str">
        <f t="shared" si="73"/>
        <v/>
      </c>
      <c r="Y480" t="str">
        <f t="shared" si="74"/>
        <v/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 t="str">
        <f t="shared" si="67"/>
        <v/>
      </c>
      <c r="I481" s="318" t="str">
        <f t="shared" si="68"/>
        <v/>
      </c>
      <c r="J481" s="318"/>
      <c r="K481" s="318"/>
      <c r="L481" s="318"/>
      <c r="P481" t="str">
        <f t="shared" si="69"/>
        <v/>
      </c>
      <c r="Q481" t="str">
        <f t="shared" si="70"/>
        <v/>
      </c>
      <c r="R481" t="str">
        <f>IF(P481="","",TEXT(H481,"yyyymm")&amp;"_"&amp;P481&amp;"_"&amp;(COUNTIFS($H$64:$H$500,H481,$P$64:$P$500,P481,$A$64:$A$500,"&gt;"&amp;A481)+COUNTIFS($H$64:H481,H481,$P$64:P481,P481,$A$64:A481,A481)))</f>
        <v/>
      </c>
      <c r="S481" t="str">
        <f t="shared" si="71"/>
        <v/>
      </c>
      <c r="T481" t="str">
        <f t="shared" si="72"/>
        <v/>
      </c>
      <c r="U481" t="str">
        <f t="shared" si="73"/>
        <v/>
      </c>
      <c r="Y481" t="str">
        <f t="shared" si="74"/>
        <v/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 t="str">
        <f t="shared" si="67"/>
        <v/>
      </c>
      <c r="I482" s="318" t="str">
        <f t="shared" si="68"/>
        <v/>
      </c>
      <c r="J482" s="318"/>
      <c r="K482" s="318"/>
      <c r="L482" s="318"/>
      <c r="P482" t="str">
        <f t="shared" si="69"/>
        <v/>
      </c>
      <c r="Q482" t="str">
        <f t="shared" si="70"/>
        <v/>
      </c>
      <c r="R482" t="str">
        <f>IF(P482="","",TEXT(H482,"yyyymm")&amp;"_"&amp;P482&amp;"_"&amp;(COUNTIFS($H$64:$H$500,H482,$P$64:$P$500,P482,$A$64:$A$500,"&gt;"&amp;A482)+COUNTIFS($H$64:H482,H482,$P$64:P482,P482,$A$64:A482,A482)))</f>
        <v/>
      </c>
      <c r="S482" t="str">
        <f t="shared" si="71"/>
        <v/>
      </c>
      <c r="T482" t="str">
        <f t="shared" si="72"/>
        <v/>
      </c>
      <c r="U482" t="str">
        <f t="shared" si="73"/>
        <v/>
      </c>
      <c r="Y482" t="str">
        <f t="shared" si="74"/>
        <v/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 t="str">
        <f t="shared" si="67"/>
        <v/>
      </c>
      <c r="I483" s="318" t="str">
        <f t="shared" si="68"/>
        <v/>
      </c>
      <c r="J483" s="318"/>
      <c r="K483" s="318"/>
      <c r="L483" s="318"/>
      <c r="P483" t="str">
        <f t="shared" si="69"/>
        <v/>
      </c>
      <c r="Q483" t="str">
        <f t="shared" si="70"/>
        <v/>
      </c>
      <c r="R483" t="str">
        <f>IF(P483="","",TEXT(H483,"yyyymm")&amp;"_"&amp;P483&amp;"_"&amp;(COUNTIFS($H$64:$H$500,H483,$P$64:$P$500,P483,$A$64:$A$500,"&gt;"&amp;A483)+COUNTIFS($H$64:H483,H483,$P$64:P483,P483,$A$64:A483,A483)))</f>
        <v/>
      </c>
      <c r="S483" t="str">
        <f t="shared" si="71"/>
        <v/>
      </c>
      <c r="T483" t="str">
        <f t="shared" si="72"/>
        <v/>
      </c>
      <c r="U483" t="str">
        <f t="shared" si="73"/>
        <v/>
      </c>
      <c r="Y483" t="str">
        <f t="shared" si="74"/>
        <v/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 t="str">
        <f t="shared" si="67"/>
        <v/>
      </c>
      <c r="I484" s="318" t="str">
        <f t="shared" si="68"/>
        <v/>
      </c>
      <c r="J484" s="318"/>
      <c r="K484" s="318"/>
      <c r="L484" s="318"/>
      <c r="P484" t="str">
        <f t="shared" si="69"/>
        <v/>
      </c>
      <c r="Q484" t="str">
        <f t="shared" si="70"/>
        <v/>
      </c>
      <c r="R484" t="str">
        <f>IF(P484="","",TEXT(H484,"yyyymm")&amp;"_"&amp;P484&amp;"_"&amp;(COUNTIFS($H$64:$H$500,H484,$P$64:$P$500,P484,$A$64:$A$500,"&gt;"&amp;A484)+COUNTIFS($H$64:H484,H484,$P$64:P484,P484,$A$64:A484,A484)))</f>
        <v/>
      </c>
      <c r="S484" t="str">
        <f t="shared" si="71"/>
        <v/>
      </c>
      <c r="T484" t="str">
        <f t="shared" si="72"/>
        <v/>
      </c>
      <c r="U484" t="str">
        <f t="shared" si="73"/>
        <v/>
      </c>
      <c r="Y484" t="str">
        <f t="shared" si="74"/>
        <v/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 t="str">
        <f t="shared" si="67"/>
        <v/>
      </c>
      <c r="I485" s="318" t="str">
        <f t="shared" si="68"/>
        <v/>
      </c>
      <c r="J485" s="318"/>
      <c r="K485" s="318"/>
      <c r="L485" s="318"/>
      <c r="P485" t="str">
        <f t="shared" si="69"/>
        <v/>
      </c>
      <c r="Q485" t="str">
        <f t="shared" si="70"/>
        <v/>
      </c>
      <c r="R485" t="str">
        <f>IF(P485="","",TEXT(H485,"yyyymm")&amp;"_"&amp;P485&amp;"_"&amp;(COUNTIFS($H$64:$H$500,H485,$P$64:$P$500,P485,$A$64:$A$500,"&gt;"&amp;A485)+COUNTIFS($H$64:H485,H485,$P$64:P485,P485,$A$64:A485,A485)))</f>
        <v/>
      </c>
      <c r="S485" t="str">
        <f t="shared" si="71"/>
        <v/>
      </c>
      <c r="T485" t="str">
        <f t="shared" si="72"/>
        <v/>
      </c>
      <c r="U485" t="str">
        <f t="shared" si="73"/>
        <v/>
      </c>
      <c r="Y485" t="str">
        <f t="shared" si="74"/>
        <v/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 t="str">
        <f t="shared" si="67"/>
        <v/>
      </c>
      <c r="I486" s="318" t="str">
        <f t="shared" si="68"/>
        <v/>
      </c>
      <c r="J486" s="318"/>
      <c r="K486" s="318"/>
      <c r="L486" s="318"/>
      <c r="P486" t="str">
        <f t="shared" si="69"/>
        <v/>
      </c>
      <c r="Q486" t="str">
        <f t="shared" si="70"/>
        <v/>
      </c>
      <c r="R486" t="str">
        <f>IF(P486="","",TEXT(H486,"yyyymm")&amp;"_"&amp;P486&amp;"_"&amp;(COUNTIFS($H$64:$H$500,H486,$P$64:$P$500,P486,$A$64:$A$500,"&gt;"&amp;A486)+COUNTIFS($H$64:H486,H486,$P$64:P486,P486,$A$64:A486,A486)))</f>
        <v/>
      </c>
      <c r="S486" t="str">
        <f t="shared" si="71"/>
        <v/>
      </c>
      <c r="T486" t="str">
        <f t="shared" si="72"/>
        <v/>
      </c>
      <c r="U486" t="str">
        <f t="shared" si="73"/>
        <v/>
      </c>
      <c r="Y486" t="str">
        <f t="shared" si="74"/>
        <v/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 t="str">
        <f t="shared" si="67"/>
        <v/>
      </c>
      <c r="I487" s="318" t="str">
        <f t="shared" si="68"/>
        <v/>
      </c>
      <c r="J487" s="318"/>
      <c r="K487" s="318"/>
      <c r="L487" s="318"/>
      <c r="P487" t="str">
        <f t="shared" si="69"/>
        <v/>
      </c>
      <c r="Q487" t="str">
        <f t="shared" si="70"/>
        <v/>
      </c>
      <c r="R487" t="str">
        <f>IF(P487="","",TEXT(H487,"yyyymm")&amp;"_"&amp;P487&amp;"_"&amp;(COUNTIFS($H$64:$H$500,H487,$P$64:$P$500,P487,$A$64:$A$500,"&gt;"&amp;A487)+COUNTIFS($H$64:H487,H487,$P$64:P487,P487,$A$64:A487,A487)))</f>
        <v/>
      </c>
      <c r="S487" t="str">
        <f t="shared" si="71"/>
        <v/>
      </c>
      <c r="T487" t="str">
        <f t="shared" si="72"/>
        <v/>
      </c>
      <c r="U487" t="str">
        <f t="shared" si="73"/>
        <v/>
      </c>
      <c r="Y487" t="str">
        <f t="shared" si="74"/>
        <v/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 t="str">
        <f t="shared" si="67"/>
        <v/>
      </c>
      <c r="I488" s="318" t="str">
        <f t="shared" si="68"/>
        <v/>
      </c>
      <c r="J488" s="318"/>
      <c r="K488" s="318"/>
      <c r="L488" s="318"/>
      <c r="P488" t="str">
        <f t="shared" si="69"/>
        <v/>
      </c>
      <c r="Q488" t="str">
        <f t="shared" si="70"/>
        <v/>
      </c>
      <c r="R488" t="str">
        <f>IF(P488="","",TEXT(H488,"yyyymm")&amp;"_"&amp;P488&amp;"_"&amp;(COUNTIFS($H$64:$H$500,H488,$P$64:$P$500,P488,$A$64:$A$500,"&gt;"&amp;A488)+COUNTIFS($H$64:H488,H488,$P$64:P488,P488,$A$64:A488,A488)))</f>
        <v/>
      </c>
      <c r="S488" t="str">
        <f t="shared" si="71"/>
        <v/>
      </c>
      <c r="T488" t="str">
        <f t="shared" si="72"/>
        <v/>
      </c>
      <c r="U488" t="str">
        <f t="shared" si="73"/>
        <v/>
      </c>
      <c r="Y488" t="str">
        <f t="shared" si="74"/>
        <v/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 t="str">
        <f t="shared" si="67"/>
        <v/>
      </c>
      <c r="I489" s="318" t="str">
        <f t="shared" si="68"/>
        <v/>
      </c>
      <c r="J489" s="318"/>
      <c r="K489" s="318"/>
      <c r="L489" s="318"/>
      <c r="P489" t="str">
        <f t="shared" si="69"/>
        <v/>
      </c>
      <c r="Q489" t="str">
        <f t="shared" si="70"/>
        <v/>
      </c>
      <c r="R489" t="str">
        <f>IF(P489="","",TEXT(H489,"yyyymm")&amp;"_"&amp;P489&amp;"_"&amp;(COUNTIFS($H$64:$H$500,H489,$P$64:$P$500,P489,$A$64:$A$500,"&gt;"&amp;A489)+COUNTIFS($H$64:H489,H489,$P$64:P489,P489,$A$64:A489,A489)))</f>
        <v/>
      </c>
      <c r="S489" t="str">
        <f t="shared" si="71"/>
        <v/>
      </c>
      <c r="T489" t="str">
        <f t="shared" si="72"/>
        <v/>
      </c>
      <c r="U489" t="str">
        <f t="shared" si="73"/>
        <v/>
      </c>
      <c r="Y489" t="str">
        <f t="shared" si="74"/>
        <v/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 t="str">
        <f t="shared" si="67"/>
        <v/>
      </c>
      <c r="I490" s="318" t="str">
        <f t="shared" si="68"/>
        <v/>
      </c>
      <c r="J490" s="318"/>
      <c r="K490" s="318"/>
      <c r="L490" s="318"/>
      <c r="P490" t="str">
        <f t="shared" si="69"/>
        <v/>
      </c>
      <c r="Q490" t="str">
        <f t="shared" si="70"/>
        <v/>
      </c>
      <c r="R490" t="str">
        <f>IF(P490="","",TEXT(H490,"yyyymm")&amp;"_"&amp;P490&amp;"_"&amp;(COUNTIFS($H$64:$H$500,H490,$P$64:$P$500,P490,$A$64:$A$500,"&gt;"&amp;A490)+COUNTIFS($H$64:H490,H490,$P$64:P490,P490,$A$64:A490,A490)))</f>
        <v/>
      </c>
      <c r="S490" t="str">
        <f t="shared" si="71"/>
        <v/>
      </c>
      <c r="T490" t="str">
        <f t="shared" si="72"/>
        <v/>
      </c>
      <c r="U490" t="str">
        <f t="shared" si="73"/>
        <v/>
      </c>
      <c r="Y490" t="str">
        <f t="shared" si="74"/>
        <v/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 t="str">
        <f t="shared" si="67"/>
        <v/>
      </c>
      <c r="I491" s="318" t="str">
        <f t="shared" si="68"/>
        <v/>
      </c>
      <c r="J491" s="318"/>
      <c r="K491" s="318"/>
      <c r="L491" s="318"/>
      <c r="P491" t="str">
        <f t="shared" si="69"/>
        <v/>
      </c>
      <c r="Q491" t="str">
        <f t="shared" si="70"/>
        <v/>
      </c>
      <c r="R491" t="str">
        <f>IF(P491="","",TEXT(H491,"yyyymm")&amp;"_"&amp;P491&amp;"_"&amp;(COUNTIFS($H$64:$H$500,H491,$P$64:$P$500,P491,$A$64:$A$500,"&gt;"&amp;A491)+COUNTIFS($H$64:H491,H491,$P$64:P491,P491,$A$64:A491,A491)))</f>
        <v/>
      </c>
      <c r="S491" t="str">
        <f t="shared" si="71"/>
        <v/>
      </c>
      <c r="T491" t="str">
        <f t="shared" si="72"/>
        <v/>
      </c>
      <c r="U491" t="str">
        <f t="shared" si="73"/>
        <v/>
      </c>
      <c r="Y491" t="str">
        <f t="shared" si="74"/>
        <v/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 t="str">
        <f t="shared" si="67"/>
        <v/>
      </c>
      <c r="I492" s="318" t="str">
        <f t="shared" si="68"/>
        <v/>
      </c>
      <c r="J492" s="318"/>
      <c r="K492" s="318"/>
      <c r="L492" s="318"/>
      <c r="P492" t="str">
        <f t="shared" si="69"/>
        <v/>
      </c>
      <c r="Q492" t="str">
        <f t="shared" si="70"/>
        <v/>
      </c>
      <c r="R492" t="str">
        <f>IF(P492="","",TEXT(H492,"yyyymm")&amp;"_"&amp;P492&amp;"_"&amp;(COUNTIFS($H$64:$H$500,H492,$P$64:$P$500,P492,$A$64:$A$500,"&gt;"&amp;A492)+COUNTIFS($H$64:H492,H492,$P$64:P492,P492,$A$64:A492,A492)))</f>
        <v/>
      </c>
      <c r="S492" t="str">
        <f t="shared" si="71"/>
        <v/>
      </c>
      <c r="T492" t="str">
        <f t="shared" si="72"/>
        <v/>
      </c>
      <c r="U492" t="str">
        <f t="shared" si="73"/>
        <v/>
      </c>
      <c r="Y492" t="str">
        <f t="shared" si="74"/>
        <v/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 t="str">
        <f t="shared" si="67"/>
        <v/>
      </c>
      <c r="I493" s="318" t="str">
        <f t="shared" si="68"/>
        <v/>
      </c>
      <c r="J493" s="318"/>
      <c r="K493" s="318"/>
      <c r="L493" s="318"/>
      <c r="P493" t="str">
        <f t="shared" si="69"/>
        <v/>
      </c>
      <c r="Q493" t="str">
        <f t="shared" si="70"/>
        <v/>
      </c>
      <c r="R493" t="str">
        <f>IF(P493="","",TEXT(H493,"yyyymm")&amp;"_"&amp;P493&amp;"_"&amp;(COUNTIFS($H$64:$H$500,H493,$P$64:$P$500,P493,$A$64:$A$500,"&gt;"&amp;A493)+COUNTIFS($H$64:H493,H493,$P$64:P493,P493,$A$64:A493,A493)))</f>
        <v/>
      </c>
      <c r="S493" t="str">
        <f t="shared" si="71"/>
        <v/>
      </c>
      <c r="T493" t="str">
        <f t="shared" si="72"/>
        <v/>
      </c>
      <c r="U493" t="str">
        <f t="shared" si="73"/>
        <v/>
      </c>
      <c r="Y493" t="str">
        <f t="shared" si="74"/>
        <v/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 t="str">
        <f t="shared" si="67"/>
        <v/>
      </c>
      <c r="I494" s="318" t="str">
        <f t="shared" si="68"/>
        <v/>
      </c>
      <c r="J494" s="318"/>
      <c r="K494" s="318"/>
      <c r="L494" s="318"/>
      <c r="P494" t="str">
        <f t="shared" si="69"/>
        <v/>
      </c>
      <c r="Q494" t="str">
        <f t="shared" si="70"/>
        <v/>
      </c>
      <c r="R494" t="str">
        <f>IF(P494="","",TEXT(H494,"yyyymm")&amp;"_"&amp;P494&amp;"_"&amp;(COUNTIFS($H$64:$H$500,H494,$P$64:$P$500,P494,$A$64:$A$500,"&gt;"&amp;A494)+COUNTIFS($H$64:H494,H494,$P$64:P494,P494,$A$64:A494,A494)))</f>
        <v/>
      </c>
      <c r="S494" t="str">
        <f t="shared" si="71"/>
        <v/>
      </c>
      <c r="T494" t="str">
        <f t="shared" si="72"/>
        <v/>
      </c>
      <c r="U494" t="str">
        <f t="shared" si="73"/>
        <v/>
      </c>
      <c r="Y494" t="str">
        <f t="shared" si="74"/>
        <v/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 t="str">
        <f t="shared" si="67"/>
        <v/>
      </c>
      <c r="I495" s="318" t="str">
        <f t="shared" si="68"/>
        <v/>
      </c>
      <c r="J495" s="318"/>
      <c r="K495" s="318"/>
      <c r="L495" s="318"/>
      <c r="P495" t="str">
        <f t="shared" si="69"/>
        <v/>
      </c>
      <c r="Q495" t="str">
        <f t="shared" si="70"/>
        <v/>
      </c>
      <c r="R495" t="str">
        <f>IF(P495="","",TEXT(H495,"yyyymm")&amp;"_"&amp;P495&amp;"_"&amp;(COUNTIFS($H$64:$H$500,H495,$P$64:$P$500,P495,$A$64:$A$500,"&gt;"&amp;A495)+COUNTIFS($H$64:H495,H495,$P$64:P495,P495,$A$64:A495,A495)))</f>
        <v/>
      </c>
      <c r="S495" t="str">
        <f t="shared" si="71"/>
        <v/>
      </c>
      <c r="T495" t="str">
        <f t="shared" si="72"/>
        <v/>
      </c>
      <c r="U495" t="str">
        <f t="shared" si="73"/>
        <v/>
      </c>
      <c r="Y495" t="str">
        <f t="shared" si="74"/>
        <v/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 t="str">
        <f t="shared" si="67"/>
        <v/>
      </c>
      <c r="I496" s="318" t="str">
        <f t="shared" si="68"/>
        <v/>
      </c>
      <c r="J496" s="318"/>
      <c r="K496" s="318"/>
      <c r="L496" s="318"/>
      <c r="P496" t="str">
        <f t="shared" si="69"/>
        <v/>
      </c>
      <c r="Q496" t="str">
        <f t="shared" si="70"/>
        <v/>
      </c>
      <c r="R496" t="str">
        <f>IF(P496="","",TEXT(H496,"yyyymm")&amp;"_"&amp;P496&amp;"_"&amp;(COUNTIFS($H$64:$H$500,H496,$P$64:$P$500,P496,$A$64:$A$500,"&gt;"&amp;A496)+COUNTIFS($H$64:H496,H496,$P$64:P496,P496,$A$64:A496,A496)))</f>
        <v/>
      </c>
      <c r="S496" t="str">
        <f t="shared" si="71"/>
        <v/>
      </c>
      <c r="T496" t="str">
        <f t="shared" si="72"/>
        <v/>
      </c>
      <c r="U496" t="str">
        <f t="shared" si="73"/>
        <v/>
      </c>
      <c r="Y496" t="str">
        <f t="shared" si="74"/>
        <v/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 t="str">
        <f t="shared" si="67"/>
        <v/>
      </c>
      <c r="I497" s="318" t="str">
        <f t="shared" si="68"/>
        <v/>
      </c>
      <c r="J497" s="318"/>
      <c r="K497" s="318"/>
      <c r="L497" s="318"/>
      <c r="P497" t="str">
        <f t="shared" si="69"/>
        <v/>
      </c>
      <c r="Q497" t="str">
        <f t="shared" si="70"/>
        <v/>
      </c>
      <c r="R497" t="str">
        <f>IF(P497="","",TEXT(H497,"yyyymm")&amp;"_"&amp;P497&amp;"_"&amp;(COUNTIFS($H$64:$H$500,H497,$P$64:$P$500,P497,$A$64:$A$500,"&gt;"&amp;A497)+COUNTIFS($H$64:H497,H497,$P$64:P497,P497,$A$64:A497,A497)))</f>
        <v/>
      </c>
      <c r="S497" t="str">
        <f t="shared" si="71"/>
        <v/>
      </c>
      <c r="T497" t="str">
        <f t="shared" si="72"/>
        <v/>
      </c>
      <c r="U497" t="str">
        <f t="shared" si="73"/>
        <v/>
      </c>
      <c r="Y497" t="str">
        <f t="shared" si="74"/>
        <v/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 t="str">
        <f t="shared" si="67"/>
        <v/>
      </c>
      <c r="I498" s="318" t="str">
        <f t="shared" si="68"/>
        <v/>
      </c>
      <c r="J498" s="318"/>
      <c r="K498" s="318"/>
      <c r="L498" s="318"/>
      <c r="P498" t="str">
        <f t="shared" si="69"/>
        <v/>
      </c>
      <c r="Q498" t="str">
        <f t="shared" si="70"/>
        <v/>
      </c>
      <c r="R498" t="str">
        <f>IF(P498="","",TEXT(H498,"yyyymm")&amp;"_"&amp;P498&amp;"_"&amp;(COUNTIFS($H$64:$H$500,H498,$P$64:$P$500,P498,$A$64:$A$500,"&gt;"&amp;A498)+COUNTIFS($H$64:H498,H498,$P$64:P498,P498,$A$64:A498,A498)))</f>
        <v/>
      </c>
      <c r="S498" t="str">
        <f t="shared" si="71"/>
        <v/>
      </c>
      <c r="T498" t="str">
        <f t="shared" si="72"/>
        <v/>
      </c>
      <c r="U498" t="str">
        <f t="shared" si="73"/>
        <v/>
      </c>
      <c r="Y498" t="str">
        <f t="shared" si="74"/>
        <v/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 t="str">
        <f t="shared" si="67"/>
        <v/>
      </c>
      <c r="I499" s="318" t="str">
        <f t="shared" si="68"/>
        <v/>
      </c>
      <c r="J499" s="318"/>
      <c r="K499" s="318"/>
      <c r="L499" s="318"/>
      <c r="P499" t="str">
        <f t="shared" si="69"/>
        <v/>
      </c>
      <c r="Q499" t="str">
        <f t="shared" si="70"/>
        <v/>
      </c>
      <c r="R499" t="str">
        <f>IF(P499="","",TEXT(H499,"yyyymm")&amp;"_"&amp;P499&amp;"_"&amp;(COUNTIFS($H$64:$H$500,H499,$P$64:$P$500,P499,$A$64:$A$500,"&gt;"&amp;A499)+COUNTIFS($H$64:H499,H499,$P$64:P499,P499,$A$64:A499,A499)))</f>
        <v/>
      </c>
      <c r="S499" t="str">
        <f t="shared" si="71"/>
        <v/>
      </c>
      <c r="T499" t="str">
        <f t="shared" si="72"/>
        <v/>
      </c>
      <c r="U499" t="str">
        <f t="shared" si="73"/>
        <v/>
      </c>
      <c r="Y499" t="str">
        <f t="shared" si="74"/>
        <v/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 t="str">
        <f t="shared" si="67"/>
        <v/>
      </c>
      <c r="I500" s="318" t="str">
        <f t="shared" si="68"/>
        <v/>
      </c>
      <c r="J500" s="318"/>
      <c r="K500" s="318"/>
      <c r="L500" s="318"/>
      <c r="P500" t="str">
        <f t="shared" si="69"/>
        <v/>
      </c>
      <c r="Q500" t="str">
        <f t="shared" si="70"/>
        <v/>
      </c>
      <c r="R500" t="str">
        <f>IF(P500="","",TEXT(H500,"yyyymm")&amp;"_"&amp;P500&amp;"_"&amp;(COUNTIFS($H$64:$H$500,H500,$P$64:$P$500,P500,$A$64:$A$500,"&gt;"&amp;A500)+COUNTIFS($H$64:H500,H500,$P$64:P500,P500,$A$64:A500,A500)))</f>
        <v/>
      </c>
      <c r="S500" t="str">
        <f t="shared" si="71"/>
        <v/>
      </c>
      <c r="T500" t="str">
        <f t="shared" si="72"/>
        <v/>
      </c>
      <c r="U500" t="str">
        <f t="shared" si="73"/>
        <v/>
      </c>
      <c r="Y500" t="str">
        <f t="shared" si="74"/>
        <v/>
      </c>
    </row>
    <row r="501" spans="1:25">
      <c r="A501" t="s">
        <v>206</v>
      </c>
    </row>
  </sheetData>
  <mergeCells count="70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6">
    <dataValidation type="list" sqref="B64:B500" xr:uid="{00000000-0002-0000-0300-000000000000}">
      <formula1>"기초,입금,적립,사용,출금,이체,계좌이체,환입"</formula1>
    </dataValidation>
    <dataValidation type="list" sqref="B35" xr:uid="{00000000-0002-0000-0300-000001000000}">
      <formula1>"3,4,5,6,7,8,9,10,11,12"</formula1>
    </dataValidation>
    <dataValidation type="whole" sqref="E35" xr:uid="{00000000-0002-0000-0300-000002000000}">
      <formula1>1</formula1>
      <formula2>$F$32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999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1137880</v>
      </c>
      <c r="I38" s="27">
        <f>SUM(I4,I9,I14,I19,I24,I29)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/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50000</v>
      </c>
      <c r="N66" s="40"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/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200000</v>
      </c>
      <c r="N68" s="40"/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950260</v>
      </c>
      <c r="I38" s="27">
        <f>SUM(I4,I9,I14,I19,I24,I29)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 t="str">
        <f t="shared" ref="F52:F61" si="6">IF(D52="","",D52-E52)</f>
        <v/>
      </c>
      <c r="G52" s="35"/>
      <c r="H52" s="27" t="str">
        <f t="shared" ref="H52:H61" si="7">IF(D52="","",F52-G52)</f>
        <v/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 t="str">
        <f t="shared" si="6"/>
        <v/>
      </c>
      <c r="G53" s="35"/>
      <c r="H53" s="34" t="str">
        <f t="shared" si="7"/>
        <v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100000</v>
      </c>
      <c r="N64" s="40"/>
      <c r="O64" s="40">
        <f>N64-M64</f>
        <v>-100000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/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/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/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200000</v>
      </c>
      <c r="O69" s="37"/>
      <c r="P69" s="37"/>
      <c r="Q69" s="37">
        <f>SUM(Q64:Q68)</f>
        <v>0</v>
      </c>
      <c r="R69" s="37">
        <f>SUM(R64:R68)</f>
        <v>200000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894480</v>
      </c>
      <c r="I38" s="27">
        <f>SUM(I4,I9,I14,I19,I24,I29)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46087.967939814807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SUMIFS(잔액!$Y$64:$Y$500,잔액!$H$64:$H$500,DATE(2026,3,1),잔액!$C$64:$C$500,L64,잔액!$B$64:$B$500,"사용")+SUMIFS(잔액!$Y$64:$Y$500,잔액!$H$64:$H$500,DATE(2026,3,1),잔액!$C$64:$C$500,L64,잔액!$B$64:$B$500,"출금")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SUMIFS(잔액!$Y$64:$Y$500,잔액!$H$64:$H$500,DATE(2026,3,1),잔액!$C$64:$C$500,L65,잔액!$B$64:$B$500,"사용")+SUMIFS(잔액!$Y$64:$Y$500,잔액!$H$64:$H$500,DATE(2026,3,1),잔액!$C$64:$C$500,L65,잔액!$B$64:$B$500,"출금")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SUMIFS(잔액!$Y$64:$Y$500,잔액!$H$64:$H$500,DATE(2026,3,1),잔액!$C$64:$C$500,L66,잔액!$B$64:$B$500,"사용")+SUMIFS(잔액!$Y$64:$Y$500,잔액!$H$64:$H$500,DATE(2026,3,1),잔액!$C$64:$C$500,L66,잔액!$B$64:$B$500,"출금")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SUMIFS(잔액!$Y$64:$Y$500,잔액!$H$64:$H$500,DATE(2026,3,1),잔액!$C$64:$C$500,L67,잔액!$B$64:$B$500,"사용")+SUMIFS(잔액!$Y$64:$Y$500,잔액!$H$64:$H$500,DATE(2026,3,1),잔액!$C$64:$C$500,L67,잔액!$B$64:$B$500,"출금")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SUMIFS(잔액!$Y$64:$Y$500,잔액!$H$64:$H$500,DATE(2026,3,1),잔액!$C$64:$C$500,L68,잔액!$B$64:$B$500,"사용")+SUMIFS(잔액!$Y$64:$Y$500,잔액!$H$64:$H$500,DATE(2026,3,1),잔액!$C$64:$C$500,L68,잔액!$B$64:$B$500,"출금")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 t="str">
        <f t="shared" si="0"/>
        <v/>
      </c>
      <c r="R11" s="34" t="str">
        <f t="shared" si="1"/>
        <v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 t="str">
        <f t="shared" si="0"/>
        <v/>
      </c>
      <c r="R23" s="34" t="str">
        <f t="shared" si="1"/>
        <v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</f>
        <v>1016640</v>
      </c>
      <c r="I38" s="27">
        <f>SUM(I4,I9,I14,I19,I24,I29)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46113.010150462957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 t="str">
        <f t="shared" si="5"/>
        <v/>
      </c>
      <c r="G54" s="35"/>
      <c r="H54" s="27" t="str">
        <f t="shared" si="6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5"/>
        <v/>
      </c>
      <c r="G55" s="35"/>
      <c r="H55" s="34" t="str">
        <f t="shared" si="6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5"/>
        <v/>
      </c>
      <c r="G56" s="35"/>
      <c r="H56" s="27" t="str">
        <f t="shared" si="6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5"/>
        <v/>
      </c>
      <c r="G57" s="35"/>
      <c r="H57" s="34" t="str">
        <f t="shared" si="6"/>
        <v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5"/>
        <v/>
      </c>
      <c r="G58" s="35"/>
      <c r="H58" s="27" t="str">
        <f t="shared" si="6"/>
        <v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5"/>
        <v/>
      </c>
      <c r="G59" s="35"/>
      <c r="H59" s="34" t="str">
        <f t="shared" si="6"/>
        <v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5"/>
        <v/>
      </c>
      <c r="G60" s="35"/>
      <c r="H60" s="27" t="str">
        <f t="shared" si="6"/>
        <v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5"/>
        <v/>
      </c>
      <c r="G61" s="35"/>
      <c r="H61" s="34" t="str">
        <f t="shared" si="6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SUMIFS(잔액!$Y$64:$Y$500,잔액!$H$64:$H$500,DATE(2026,4,1),잔액!$C$64:$C$500,L64,잔액!$B$64:$B$500,"사용")+SUMIFS(잔액!$Y$64:$Y$500,잔액!$H$64:$H$500,DATE(2026,4,1),잔액!$C$64:$C$500,L64,잔액!$B$64:$B$500,"출금")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SUMIFS(잔액!$Y$64:$Y$500,잔액!$H$64:$H$500,DATE(2026,4,1),잔액!$C$64:$C$500,L65,잔액!$B$64:$B$500,"사용")+SUMIFS(잔액!$Y$64:$Y$500,잔액!$H$64:$H$500,DATE(2026,4,1),잔액!$C$64:$C$500,L65,잔액!$B$64:$B$500,"출금")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SUMIFS(잔액!$Y$64:$Y$500,잔액!$H$64:$H$500,DATE(2026,4,1),잔액!$C$64:$C$500,L66,잔액!$B$64:$B$500,"사용")+SUMIFS(잔액!$Y$64:$Y$500,잔액!$H$64:$H$500,DATE(2026,4,1),잔액!$C$64:$C$500,L66,잔액!$B$64:$B$500,"출금")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SUMIFS(잔액!$Y$64:$Y$500,잔액!$H$64:$H$500,DATE(2026,4,1),잔액!$C$64:$C$500,L67,잔액!$B$64:$B$500,"사용")+SUMIFS(잔액!$Y$64:$Y$500,잔액!$H$64:$H$500,DATE(2026,4,1),잔액!$C$64:$C$500,L67,잔액!$B$64:$B$500,"출금")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SUMIFS(잔액!$Y$64:$Y$500,잔액!$H$64:$H$500,DATE(2026,4,1),잔액!$C$64:$C$500,L68,잔액!$B$64:$B$500,"사용")+SUMIFS(잔액!$Y$64:$Y$500,잔액!$H$64:$H$500,DATE(2026,4,1),잔액!$C$64:$C$500,L68,잔액!$B$64:$B$500,"출금")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</f>
        <v>1003915</v>
      </c>
      <c r="I38" s="27">
        <f>SUM(I4,I9,I14,I19,I24,I29)-149000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 t="str">
        <f t="shared" ref="F52:F61" si="6">IF(D52="","",D52-E52)</f>
        <v/>
      </c>
      <c r="G52" s="35"/>
      <c r="H52" s="27" t="str">
        <f t="shared" ref="H52:H61" si="7">IF(D52="","",F52-G52)</f>
        <v/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 t="str">
        <f t="shared" si="6"/>
        <v/>
      </c>
      <c r="G53" s="35"/>
      <c r="H53" s="34" t="str">
        <f t="shared" si="7"/>
        <v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200000</v>
      </c>
      <c r="N64" s="40">
        <f>SUMIFS(잔액!$Y$64:$Y$500,잔액!$H$64:$H$500,DATE(2026,5,1),잔액!$C$64:$C$500,L64,잔액!$B$64:$B$500,"사용")+SUMIFS(잔액!$Y$64:$Y$500,잔액!$H$64:$H$500,DATE(2026,5,1),잔액!$C$64:$C$500,L64,잔액!$B$64:$B$500,"출금")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SUMIFS(잔액!$Y$64:$Y$500,잔액!$H$64:$H$500,DATE(2026,5,1),잔액!$C$64:$C$500,L65,잔액!$B$64:$B$500,"사용")+SUMIFS(잔액!$Y$64:$Y$500,잔액!$H$64:$H$500,DATE(2026,5,1),잔액!$C$64:$C$500,L65,잔액!$B$64:$B$500,"출금")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SUMIFS(잔액!$Y$64:$Y$500,잔액!$H$64:$H$500,DATE(2026,5,1),잔액!$C$64:$C$500,L66,잔액!$B$64:$B$500,"사용")+SUMIFS(잔액!$Y$64:$Y$500,잔액!$H$64:$H$500,DATE(2026,5,1),잔액!$C$64:$C$500,L66,잔액!$B$64:$B$500,"출금")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350000</v>
      </c>
      <c r="N67" s="46">
        <f>SUMIFS(잔액!$Y$64:$Y$500,잔액!$H$64:$H$500,DATE(2026,5,1),잔액!$C$64:$C$500,L67,잔액!$B$64:$B$500,"사용")+SUMIFS(잔액!$Y$64:$Y$500,잔액!$H$64:$H$500,DATE(2026,5,1),잔액!$C$64:$C$500,L67,잔액!$B$64:$B$500,"출금")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SUMIFS(잔액!$Y$64:$Y$500,잔액!$H$64:$H$500,DATE(2026,5,1),잔액!$C$64:$C$500,L68,잔액!$B$64:$B$500,"사용")+SUMIFS(잔액!$Y$64:$Y$500,잔액!$H$64:$H$500,DATE(2026,5,1),잔액!$C$64:$C$500,L68,잔액!$B$64:$B$500,"출금")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 t="str">
        <f t="shared" si="0"/>
        <v/>
      </c>
      <c r="R12" s="27" t="str">
        <f t="shared" si="1"/>
        <v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 t="str">
        <f t="shared" si="0"/>
        <v/>
      </c>
      <c r="R24" s="27" t="str">
        <f t="shared" si="1"/>
        <v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1441255</v>
      </c>
      <c r="I38" s="27">
        <f>SUM(I4,I9,I14,I19,I24,I29)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46202.663888888892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SUMIFS(잔액!$Y$64:$Y$500,잔액!$H$64:$H$500,DATE(2026,6,1),잔액!$C$64:$C$500,L64,잔액!$B$64:$B$500,"사용")+SUMIFS(잔액!$Y$64:$Y$500,잔액!$H$64:$H$500,DATE(2026,6,1),잔액!$C$64:$C$500,L64,잔액!$B$64:$B$500,"출금")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SUMIFS(잔액!$Y$64:$Y$500,잔액!$H$64:$H$500,DATE(2026,6,1),잔액!$C$64:$C$500,L65,잔액!$B$64:$B$500,"사용")+SUMIFS(잔액!$Y$64:$Y$500,잔액!$H$64:$H$500,DATE(2026,6,1),잔액!$C$64:$C$500,L65,잔액!$B$64:$B$500,"출금")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SUMIFS(잔액!$Y$64:$Y$500,잔액!$H$64:$H$500,DATE(2026,6,1),잔액!$C$64:$C$500,L66,잔액!$B$64:$B$500,"사용")+SUMIFS(잔액!$Y$64:$Y$500,잔액!$H$64:$H$500,DATE(2026,6,1),잔액!$C$64:$C$500,L66,잔액!$B$64:$B$500,"출금")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SUMIFS(잔액!$Y$64:$Y$500,잔액!$H$64:$H$500,DATE(2026,6,1),잔액!$C$64:$C$500,L67,잔액!$B$64:$B$500,"사용")+SUMIFS(잔액!$Y$64:$Y$500,잔액!$H$64:$H$500,DATE(2026,6,1),잔액!$C$64:$C$500,L67,잔액!$B$64:$B$500,"출금")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SUMIFS(잔액!$Y$64:$Y$500,잔액!$H$64:$H$500,DATE(2026,6,1),잔액!$C$64:$C$500,L68,잔액!$B$64:$B$500,"사용")+SUMIFS(잔액!$Y$64:$Y$500,잔액!$H$64:$H$500,DATE(2026,6,1),잔액!$C$64:$C$500,L68,잔액!$B$64:$B$500,"출금")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 t="str">
        <f t="shared" si="0"/>
        <v/>
      </c>
      <c r="R5" s="34" t="str">
        <f t="shared" si="1"/>
        <v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1477534</v>
      </c>
      <c r="I38" s="27">
        <f>SUM(I4,I9,I14,I19,I24,I29)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46234.697222222218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46218.934432870366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5"/>
        <v/>
      </c>
      <c r="G55" s="35"/>
      <c r="H55" s="34" t="str">
        <f t="shared" si="6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5"/>
        <v/>
      </c>
      <c r="G56" s="35"/>
      <c r="H56" s="27" t="str">
        <f t="shared" si="6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5"/>
        <v/>
      </c>
      <c r="G57" s="35"/>
      <c r="H57" s="34" t="str">
        <f t="shared" si="6"/>
        <v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5"/>
        <v/>
      </c>
      <c r="G58" s="35"/>
      <c r="H58" s="27" t="str">
        <f t="shared" si="6"/>
        <v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5"/>
        <v/>
      </c>
      <c r="G59" s="35"/>
      <c r="H59" s="34" t="str">
        <f t="shared" si="6"/>
        <v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5"/>
        <v/>
      </c>
      <c r="G60" s="35"/>
      <c r="H60" s="27" t="str">
        <f t="shared" si="6"/>
        <v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5"/>
        <v/>
      </c>
      <c r="G61" s="35"/>
      <c r="H61" s="34" t="str">
        <f t="shared" si="6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SUMIFS(잔액!$Y$64:$Y$500,잔액!$H$64:$H$500,DATE(2026,7,1),잔액!$C$64:$C$500,L64,잔액!$B$64:$B$500,"사용")+SUMIFS(잔액!$Y$64:$Y$500,잔액!$H$64:$H$500,DATE(2026,7,1),잔액!$C$64:$C$500,L64,잔액!$B$64:$B$500,"출금")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SUMIFS(잔액!$Y$64:$Y$500,잔액!$H$64:$H$500,DATE(2026,7,1),잔액!$C$64:$C$500,L65,잔액!$B$64:$B$500,"사용")+SUMIFS(잔액!$Y$64:$Y$500,잔액!$H$64:$H$500,DATE(2026,7,1),잔액!$C$64:$C$500,L65,잔액!$B$64:$B$500,"출금")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SUMIFS(잔액!$Y$64:$Y$500,잔액!$H$64:$H$500,DATE(2026,7,1),잔액!$C$64:$C$500,L66,잔액!$B$64:$B$500,"사용")+SUMIFS(잔액!$Y$64:$Y$500,잔액!$H$64:$H$500,DATE(2026,7,1),잔액!$C$64:$C$500,L66,잔액!$B$64:$B$500,"출금")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SUMIFS(잔액!$Y$64:$Y$500,잔액!$H$64:$H$500,DATE(2026,7,1),잔액!$C$64:$C$500,L67,잔액!$B$64:$B$500,"사용")+SUMIFS(잔액!$Y$64:$Y$500,잔액!$H$64:$H$500,DATE(2026,7,1),잔액!$C$64:$C$500,L67,잔액!$B$64:$B$500,"출금")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SUMIFS(잔액!$Y$64:$Y$500,잔액!$H$64:$H$500,DATE(2026,7,1),잔액!$C$64:$C$500,L68,잔액!$B$64:$B$500,"사용")+SUMIFS(잔액!$Y$64:$Y$500,잔액!$H$64:$H$500,DATE(2026,7,1),잔액!$C$64:$C$500,L68,잔액!$B$64:$B$500,"출금")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 t="str">
        <f t="shared" si="0"/>
        <v/>
      </c>
      <c r="R14" s="27" t="str">
        <f t="shared" si="1"/>
        <v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 t="str">
        <f t="shared" si="0"/>
        <v/>
      </c>
      <c r="R15" s="34" t="str">
        <f t="shared" si="1"/>
        <v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2299443</v>
      </c>
      <c r="I38" s="27">
        <f>SUM(I4,I9,I14,I19,I24,I29)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46239.952164351853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SUMIFS(잔액!$Y$64:$Y$500,잔액!$H$64:$H$500,DATE(2026,8,1),잔액!$C$64:$C$500,L64,잔액!$B$64:$B$500,"사용")+SUMIFS(잔액!$Y$64:$Y$500,잔액!$H$64:$H$500,DATE(2026,8,1),잔액!$C$64:$C$500,L64,잔액!$B$64:$B$500,"출금")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300000</v>
      </c>
      <c r="N65" s="46">
        <f>SUMIFS(잔액!$Y$64:$Y$500,잔액!$H$64:$H$500,DATE(2026,8,1),잔액!$C$64:$C$500,L65,잔액!$B$64:$B$500,"사용")+SUMIFS(잔액!$Y$64:$Y$500,잔액!$H$64:$H$500,DATE(2026,8,1),잔액!$C$64:$C$500,L65,잔액!$B$64:$B$500,"출금")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SUMIFS(잔액!$Y$64:$Y$500,잔액!$H$64:$H$500,DATE(2026,8,1),잔액!$C$64:$C$500,L66,잔액!$B$64:$B$500,"사용")+SUMIFS(잔액!$Y$64:$Y$500,잔액!$H$64:$H$500,DATE(2026,8,1),잔액!$C$64:$C$500,L66,잔액!$B$64:$B$500,"출금")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SUMIFS(잔액!$Y$64:$Y$500,잔액!$H$64:$H$500,DATE(2026,8,1),잔액!$C$64:$C$500,L67,잔액!$B$64:$B$500,"사용")+SUMIFS(잔액!$Y$64:$Y$500,잔액!$H$64:$H$500,DATE(2026,8,1),잔액!$C$64:$C$500,L67,잔액!$B$64:$B$500,"출금")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SUMIFS(잔액!$Y$64:$Y$500,잔액!$H$64:$H$500,DATE(2026,8,1),잔액!$C$64:$C$500,L68,잔액!$B$64:$B$500,"사용")+SUMIFS(잔액!$Y$64:$Y$500,잔액!$H$64:$H$500,DATE(2026,8,1),잔액!$C$64:$C$500,L68,잔액!$B$64:$B$500,"출금")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 t="str">
        <f t="shared" si="0"/>
        <v/>
      </c>
      <c r="R14" s="27" t="str">
        <f t="shared" si="1"/>
        <v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</f>
        <v>1862851</v>
      </c>
      <c r="I38" s="27">
        <f>SUM(I4,I9,I14,I19,I24,I29)-50000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46266.848612465277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SUMIFS(잔액!$Y$64:$Y$500,잔액!$H$64:$H$500,DATE(2026,9,1),잔액!$C$64:$C$500,L64,잔액!$B$64:$B$500,"사용")+SUMIFS(잔액!$Y$64:$Y$500,잔액!$H$64:$H$500,DATE(2026,9,1),잔액!$C$64:$C$500,L64,잔액!$B$64:$B$500,"출금")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SUMIFS(잔액!$Y$64:$Y$500,잔액!$H$64:$H$500,DATE(2026,9,1),잔액!$C$64:$C$500,L65,잔액!$B$64:$B$500,"사용")+SUMIFS(잔액!$Y$64:$Y$500,잔액!$H$64:$H$500,DATE(2026,9,1),잔액!$C$64:$C$500,L65,잔액!$B$64:$B$500,"출금")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50000</v>
      </c>
      <c r="N66" s="40">
        <f>SUMIFS(잔액!$Y$64:$Y$500,잔액!$H$64:$H$500,DATE(2026,9,1),잔액!$C$64:$C$500,L66,잔액!$B$64:$B$500,"사용")+SUMIFS(잔액!$Y$64:$Y$500,잔액!$H$64:$H$500,DATE(2026,9,1),잔액!$C$64:$C$500,L66,잔액!$B$64:$B$500,"출금")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SUMIFS(잔액!$Y$64:$Y$500,잔액!$H$64:$H$500,DATE(2026,9,1),잔액!$C$64:$C$500,L67,잔액!$B$64:$B$500,"사용")+SUMIFS(잔액!$Y$64:$Y$500,잔액!$H$64:$H$500,DATE(2026,9,1),잔액!$C$64:$C$500,L67,잔액!$B$64:$B$500,"출금")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SUMIFS(잔액!$Y$64:$Y$500,잔액!$H$64:$H$500,DATE(2026,9,1),잔액!$C$64:$C$500,L68,잔액!$B$64:$B$500,"사용")+SUMIFS(잔액!$Y$64:$Y$500,잔액!$H$64:$H$500,DATE(2026,9,1),잔액!$C$64:$C$500,L68,잔액!$B$64:$B$500,"출금")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46308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s">
        <v>686</v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s">
        <v>686</v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s">
        <v>686</v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s">
        <v>686</v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s">
        <v>689</v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s">
        <v>690</v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s">
        <v>689</v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s">
        <v>689</v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s">
        <v>692</v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s">
        <v>693</v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/>
      <c r="E14" s="35"/>
      <c r="F14" s="35"/>
      <c r="G14" s="35"/>
      <c r="H14" s="35"/>
      <c r="I14" s="45">
        <f>SUM(B14:H14)</f>
        <v>245000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s">
        <v>695</v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/>
      <c r="E15" s="35"/>
      <c r="F15" s="35"/>
      <c r="G15" s="35"/>
      <c r="H15" s="35"/>
      <c r="I15" s="45">
        <f>SUM(B15:H15)</f>
        <v>242620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s">
        <v>686</v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 t="str">
        <f t="shared" si="3"/>
        <v/>
      </c>
      <c r="E16" s="27" t="str">
        <f t="shared" si="3"/>
        <v/>
      </c>
      <c r="F16" s="27" t="str">
        <f t="shared" si="3"/>
        <v/>
      </c>
      <c r="G16" s="27" t="str">
        <f t="shared" si="3"/>
        <v/>
      </c>
      <c r="H16" s="27" t="str">
        <f t="shared" si="3"/>
        <v/>
      </c>
      <c r="I16" s="45">
        <f>SUM(B16:H16)</f>
        <v>2380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s">
        <v>686</v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s">
        <v>686</v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s">
        <v>692</v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s">
        <v>686</v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s">
        <v>697</v>
      </c>
    </row>
    <row r="21" spans="1:22" ht="29" customHeight="1">
      <c r="A21" s="31" t="s">
        <v>323</v>
      </c>
      <c r="B21" s="27" t="str">
        <f t="shared" ref="B21:H21" si="4">IF(B18&gt;$U$1,"",B19-B20)</f>
        <v/>
      </c>
      <c r="C21" s="27" t="str">
        <f t="shared" si="4"/>
        <v/>
      </c>
      <c r="D21" s="27" t="str">
        <f t="shared" si="4"/>
        <v/>
      </c>
      <c r="E21" s="27" t="str">
        <f t="shared" si="4"/>
        <v/>
      </c>
      <c r="F21" s="27" t="str">
        <f t="shared" si="4"/>
        <v/>
      </c>
      <c r="G21" s="27" t="str">
        <f t="shared" si="4"/>
        <v/>
      </c>
      <c r="H21" s="27" t="str">
        <f t="shared" si="4"/>
        <v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s">
        <v>698</v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s">
        <v>689</v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s">
        <v>701</v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s">
        <v>703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 t="str">
        <f t="shared" ref="B26:G26" si="5">IF(B23&gt;$U$1,"",B24-B25)</f>
        <v/>
      </c>
      <c r="C26" s="27" t="str">
        <f t="shared" si="5"/>
        <v/>
      </c>
      <c r="D26" s="27" t="str">
        <f t="shared" si="5"/>
        <v/>
      </c>
      <c r="E26" s="27" t="str">
        <f t="shared" si="5"/>
        <v/>
      </c>
      <c r="F26" s="27" t="str">
        <f t="shared" si="5"/>
        <v/>
      </c>
      <c r="G26" s="27" t="str">
        <f t="shared" si="5"/>
        <v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1238000</v>
      </c>
      <c r="N28" s="367"/>
      <c r="O28" s="429" t="s">
        <v>234</v>
      </c>
      <c r="P28" s="367"/>
      <c r="Q28" s="431">
        <f>'10월계산기'!W12</f>
        <v>1238000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1238000</v>
      </c>
      <c r="N29" s="367"/>
      <c r="O29" s="429" t="s">
        <v>239</v>
      </c>
      <c r="P29" s="367"/>
      <c r="Q29" s="431">
        <f>'10월계산기'!W13</f>
        <v>1238000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19560</v>
      </c>
      <c r="N30" s="367"/>
      <c r="O30" s="429" t="s">
        <v>514</v>
      </c>
      <c r="P30" s="367"/>
      <c r="Q30" s="431">
        <f>SUM(I4,I9,I14,I19,I24,I29)-I33</f>
        <v>19560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1218440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</f>
        <v>1218440</v>
      </c>
      <c r="I38" s="27">
        <f>SUM(I4,I9,I14,I19,I24,I29)</f>
        <v>1238000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8748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508748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1737462</v>
      </c>
      <c r="I44" s="37">
        <f>SUM(I37:I42)+I47-I43</f>
        <v>1761000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-1228714</v>
      </c>
      <c r="I45" s="113">
        <f>IF(H45="","",C41-I44)</f>
        <v>-1252252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 t="str">
        <f t="shared" si="6"/>
        <v/>
      </c>
      <c r="G53" s="35"/>
      <c r="H53" s="34" t="str">
        <f t="shared" si="7"/>
        <v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SUMIFS(잔액!$Y$64:$Y$500,잔액!$H$64:$H$500,DATE(2026,10,1),잔액!$C$64:$C$500,L64,잔액!$B$64:$B$500,"사용")+SUMIFS(잔액!$Y$64:$Y$500,잔액!$H$64:$H$500,DATE(2026,10,1),잔액!$C$64:$C$500,L64,잔액!$B$64:$B$500,"출금")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SUMIFS(잔액!$Y$64:$Y$500,잔액!$H$64:$H$500,DATE(2026,10,1),잔액!$C$64:$C$500,L65,잔액!$B$64:$B$500,"사용")+SUMIFS(잔액!$Y$64:$Y$500,잔액!$H$64:$H$500,DATE(2026,10,1),잔액!$C$64:$C$500,L65,잔액!$B$64:$B$500,"출금")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200000</v>
      </c>
      <c r="N66" s="40">
        <f>SUMIFS(잔액!$Y$64:$Y$500,잔액!$H$64:$H$500,DATE(2026,10,1),잔액!$C$64:$C$500,L66,잔액!$B$64:$B$500,"사용")+SUMIFS(잔액!$Y$64:$Y$500,잔액!$H$64:$H$500,DATE(2026,10,1),잔액!$C$64:$C$500,L66,잔액!$B$64:$B$500,"출금")+IFERROR(INDEX(예비비!$G$7:$T$7,1,MATCH($T$1,예비비!$G$4:$T$4,0)),0)</f>
        <v>200000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200000</v>
      </c>
      <c r="S66" s="471" t="s">
        <v>710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SUMIFS(잔액!$Y$64:$Y$500,잔액!$H$64:$H$500,DATE(2026,10,1),잔액!$C$64:$C$500,L67,잔액!$B$64:$B$500,"사용")+SUMIFS(잔액!$Y$64:$Y$500,잔액!$H$64:$H$500,DATE(2026,10,1),잔액!$C$64:$C$500,L67,잔액!$B$64:$B$500,"출금")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SUMIFS(잔액!$Y$64:$Y$500,잔액!$H$64:$H$500,DATE(2026,10,1),잔액!$C$64:$C$500,L68,잔액!$B$64:$B$500,"사용")+SUMIFS(잔액!$Y$64:$Y$500,잔액!$H$64:$H$500,DATE(2026,10,1),잔액!$C$64:$C$500,L68,잔액!$B$64:$B$500,"출금")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200000</v>
      </c>
      <c r="N69" s="37">
        <f>SUM(N64:N68)</f>
        <v>200000</v>
      </c>
      <c r="O69" s="37"/>
      <c r="P69" s="37"/>
      <c r="Q69" s="37">
        <f>SUM(Q64:Q68)</f>
        <v>0</v>
      </c>
      <c r="R69" s="37">
        <f>SUM(R64:R68)</f>
        <v>200000</v>
      </c>
      <c r="S69" s="13"/>
      <c r="T69" s="13"/>
    </row>
    <row r="70" spans="1:21" ht="42" customHeight="1">
      <c r="A70" s="479" t="s">
        <v>711</v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s">
        <v>712</v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v>320430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s">
        <v>720</v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v>739000</v>
      </c>
      <c r="F78" s="473"/>
      <c r="G78" s="473"/>
      <c r="H78" s="474"/>
      <c r="J78" s="472" t="s">
        <v>724</v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200000</v>
      </c>
      <c r="F79" s="473"/>
      <c r="G79" s="473"/>
      <c r="H79" s="474"/>
      <c r="J79" s="475" t="s">
        <v>726</v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v>51800</v>
      </c>
      <c r="F80" s="473"/>
      <c r="G80" s="473"/>
      <c r="H80" s="474"/>
      <c r="J80" s="472" t="s">
        <v>728</v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1218440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1238000</v>
      </c>
      <c r="F82" s="473"/>
      <c r="G82" s="473"/>
      <c r="H82" s="474"/>
      <c r="J82" s="472" t="s">
        <v>732</v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COUNT(RAW!G2323:G2453)-131</f>
        <v>0</v>
      </c>
      <c r="F83" s="473"/>
      <c r="G83" s="473"/>
      <c r="H83" s="474"/>
      <c r="J83" s="475" t="s">
        <v>733</v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I33-1218440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SUM(I4,I9,I14,I19,I24,I29)-1238000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-1737462</v>
      </c>
      <c r="F86" s="473"/>
      <c r="G86" s="473"/>
      <c r="H86" s="474"/>
      <c r="J86" s="475" t="s">
        <v>739</v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220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220000</v>
      </c>
      <c r="AA3">
        <v>220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55000</v>
      </c>
      <c r="AA4">
        <v>55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364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364000</v>
      </c>
      <c r="AA5">
        <v>364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93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93000</v>
      </c>
      <c r="AA6">
        <v>93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130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130000</v>
      </c>
      <c r="AA7">
        <v>130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241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241000</v>
      </c>
      <c r="AA9">
        <v>241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1238000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1238000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1238000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s="106" customFormat="1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s="106" customFormat="1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s="106" customFormat="1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s="106" customFormat="1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s="106" customFormat="1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1"/>
      <c r="S84" s="183"/>
      <c r="T84" s="184"/>
      <c r="U84" s="183"/>
      <c r="V84" s="127"/>
      <c r="W84" s="127"/>
    </row>
    <row r="85" spans="1:23" s="106" customFormat="1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s="106" customFormat="1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s="106" customFormat="1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s="106" customFormat="1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s="106" customFormat="1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s="106" customFormat="1" ht="12" customHeight="1">
      <c r="A90" s="127"/>
      <c r="B90" s="179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1238000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1238000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s">
        <v>741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 t="str">
        <f>IF(COUNTA(H4:H5)=0,"",H4-H5)</f>
        <v/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 t="str">
        <f t="shared" ref="B11:H11" si="2">IF(COUNTA(B9:B10)=0,"",B9-B10)</f>
        <v/>
      </c>
      <c r="C11" s="27" t="str">
        <f t="shared" si="2"/>
        <v/>
      </c>
      <c r="D11" s="27" t="str">
        <f t="shared" si="2"/>
        <v/>
      </c>
      <c r="E11" s="27" t="str">
        <f t="shared" si="2"/>
        <v/>
      </c>
      <c r="F11" s="27" t="str">
        <f t="shared" si="2"/>
        <v/>
      </c>
      <c r="G11" s="27" t="str">
        <f t="shared" si="2"/>
        <v/>
      </c>
      <c r="H11" s="27" t="str">
        <f t="shared" si="2"/>
        <v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 t="str">
        <f t="shared" si="0"/>
        <v/>
      </c>
      <c r="R12" s="27" t="str">
        <f t="shared" si="1"/>
        <v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 t="str">
        <f t="shared" si="0"/>
        <v/>
      </c>
      <c r="R14" s="27" t="str">
        <f t="shared" si="1"/>
        <v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 t="str">
        <f t="shared" ref="B16:H16" si="3">IF(COUNTA(B14:B15)=0,"",B14-B15)</f>
        <v/>
      </c>
      <c r="C16" s="27" t="str">
        <f t="shared" si="3"/>
        <v/>
      </c>
      <c r="D16" s="27" t="str">
        <f t="shared" si="3"/>
        <v/>
      </c>
      <c r="E16" s="27" t="str">
        <f t="shared" si="3"/>
        <v/>
      </c>
      <c r="F16" s="27" t="str">
        <f t="shared" si="3"/>
        <v/>
      </c>
      <c r="G16" s="27" t="str">
        <f t="shared" si="3"/>
        <v/>
      </c>
      <c r="H16" s="27" t="str">
        <f t="shared" si="3"/>
        <v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 t="str">
        <f t="shared" ref="B21:H21" si="4">IF(COUNTA(B19:B20)=0,"",B19-B20)</f>
        <v/>
      </c>
      <c r="C21" s="27" t="str">
        <f t="shared" si="4"/>
        <v/>
      </c>
      <c r="D21" s="27" t="str">
        <f t="shared" si="4"/>
        <v/>
      </c>
      <c r="E21" s="27" t="str">
        <f t="shared" si="4"/>
        <v/>
      </c>
      <c r="F21" s="27" t="str">
        <f t="shared" si="4"/>
        <v/>
      </c>
      <c r="G21" s="27" t="str">
        <f t="shared" si="4"/>
        <v/>
      </c>
      <c r="H21" s="27" t="str">
        <f t="shared" si="4"/>
        <v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 t="str">
        <f t="shared" ref="B26:H26" si="5">IF(COUNTA(B24:B25)=0,"",B24-B25)</f>
        <v/>
      </c>
      <c r="C26" s="27" t="str">
        <f t="shared" si="5"/>
        <v/>
      </c>
      <c r="D26" s="27" t="str">
        <f t="shared" si="5"/>
        <v/>
      </c>
      <c r="E26" s="27" t="str">
        <f t="shared" si="5"/>
        <v/>
      </c>
      <c r="F26" s="27" t="str">
        <f t="shared" si="5"/>
        <v/>
      </c>
      <c r="G26" s="27" t="str">
        <f t="shared" si="5"/>
        <v/>
      </c>
      <c r="H26" s="27" t="str">
        <f t="shared" si="5"/>
        <v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 t="str">
        <f>IF(COUNTA(B29:B30)=0,"",B29-B30)</f>
        <v/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 t="str">
        <f>IF(N37="","",N37-M37)</f>
        <v/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</f>
        <v>0</v>
      </c>
      <c r="I38" s="27">
        <f>SUM(I4,I9,I14,I19,I24,I29)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 t="str">
        <f>IF(N38="","",N38-M38)</f>
        <v/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 t="str">
        <f>IF(N39="","",N39-M39)</f>
        <v/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 t="str">
        <f>IF(N42="","",N42-M42)</f>
        <v/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 t="str">
        <f>IF(N43="","",N43-M43)</f>
        <v/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 t="str">
        <f>IF(AND(COUNT(B5:H5,B10:H10,B15:H15,B20:H20,B25:H25,B30:H30,N37:N43,N57:N59,D52:D61)=0,SUM(N64:N68)=0,COUNTIF(U4:U24,"확정")=0),"",C41-H44)</f>
        <v/>
      </c>
      <c r="I45" s="53" t="str">
        <f>IF(H45="","",C41-I44)</f>
        <v/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 t="str">
        <f t="shared" ref="F52:F61" si="6">IF(D52="","",D52-E52)</f>
        <v/>
      </c>
      <c r="G52" s="35"/>
      <c r="H52" s="27" t="str">
        <f t="shared" ref="H52:H61" si="7">IF(D52="","",F52-G52)</f>
        <v/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 t="str">
        <f t="shared" si="6"/>
        <v/>
      </c>
      <c r="G53" s="35"/>
      <c r="H53" s="34" t="str">
        <f t="shared" si="7"/>
        <v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 t="str">
        <f>IF(N57="","",N57-M57)</f>
        <v/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 t="str">
        <f>IF(N58="","",N58-M58)</f>
        <v/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 t="str">
        <f>IF(N59="","",N59-M59)</f>
        <v/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SUMIFS(잔액!$Y$64:$Y$500,잔액!$H$64:$H$500,DATE(2026,11,1),잔액!$C$64:$C$500,L64,잔액!$B$64:$B$500,"사용")+SUMIFS(잔액!$Y$64:$Y$500,잔액!$H$64:$H$500,DATE(2026,11,1),잔액!$C$64:$C$500,L64,잔액!$B$64:$B$500,"출금")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SUMIFS(잔액!$Y$64:$Y$500,잔액!$H$64:$H$500,DATE(2026,11,1),잔액!$C$64:$C$500,L65,잔액!$B$64:$B$500,"사용")+SUMIFS(잔액!$Y$64:$Y$500,잔액!$H$64:$H$500,DATE(2026,11,1),잔액!$C$64:$C$500,L65,잔액!$B$64:$B$500,"출금")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SUMIFS(잔액!$Y$64:$Y$500,잔액!$H$64:$H$500,DATE(2026,11,1),잔액!$C$64:$C$500,L66,잔액!$B$64:$B$500,"사용")+SUMIFS(잔액!$Y$64:$Y$500,잔액!$H$64:$H$500,DATE(2026,11,1),잔액!$C$64:$C$500,L66,잔액!$B$64:$B$500,"출금")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SUMIFS(잔액!$Y$64:$Y$500,잔액!$H$64:$H$500,DATE(2026,11,1),잔액!$C$64:$C$500,L67,잔액!$B$64:$B$500,"사용")+SUMIFS(잔액!$Y$64:$Y$500,잔액!$H$64:$H$500,DATE(2026,11,1),잔액!$C$64:$C$500,L67,잔액!$B$64:$B$500,"출금")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SUMIFS(잔액!$Y$64:$Y$500,잔액!$H$64:$H$500,DATE(2026,11,1),잔액!$C$64:$C$500,L68,잔액!$B$64:$B$500,"사용")+SUMIFS(잔액!$Y$64:$Y$500,잔액!$H$64:$H$500,DATE(2026,11,1),잔액!$C$64:$C$500,L68,잔액!$B$64:$B$500,"출금")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 t="str">
        <f t="shared" ref="C6:H6" si="2">IF(COUNTA(C4:C5)=0,"",C4-C5)</f>
        <v/>
      </c>
      <c r="D6" s="27" t="str">
        <f t="shared" si="2"/>
        <v/>
      </c>
      <c r="E6" s="27" t="str">
        <f t="shared" si="2"/>
        <v/>
      </c>
      <c r="F6" s="27" t="str">
        <f t="shared" si="2"/>
        <v/>
      </c>
      <c r="G6" s="27" t="str">
        <f t="shared" si="2"/>
        <v/>
      </c>
      <c r="H6" s="27" t="str">
        <f t="shared" si="2"/>
        <v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 t="str">
        <f t="shared" ref="B11:H11" si="3">IF(COUNTA(B9:B10)=0,"",B9-B10)</f>
        <v/>
      </c>
      <c r="C11" s="27" t="str">
        <f t="shared" si="3"/>
        <v/>
      </c>
      <c r="D11" s="27" t="str">
        <f t="shared" si="3"/>
        <v/>
      </c>
      <c r="E11" s="27" t="str">
        <f t="shared" si="3"/>
        <v/>
      </c>
      <c r="F11" s="27" t="str">
        <f t="shared" si="3"/>
        <v/>
      </c>
      <c r="G11" s="27" t="str">
        <f t="shared" si="3"/>
        <v/>
      </c>
      <c r="H11" s="27" t="str">
        <f t="shared" si="3"/>
        <v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 t="str">
        <f t="shared" si="0"/>
        <v/>
      </c>
      <c r="R12" s="27" t="str">
        <f t="shared" si="1"/>
        <v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 t="str">
        <f t="shared" si="0"/>
        <v/>
      </c>
      <c r="R14" s="27" t="str">
        <f t="shared" si="1"/>
        <v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 t="str">
        <f t="shared" ref="B16:H16" si="4">IF(COUNTA(B14:B15)=0,"",B14-B15)</f>
        <v/>
      </c>
      <c r="C16" s="27" t="str">
        <f t="shared" si="4"/>
        <v/>
      </c>
      <c r="D16" s="27" t="str">
        <f t="shared" si="4"/>
        <v/>
      </c>
      <c r="E16" s="27" t="str">
        <f t="shared" si="4"/>
        <v/>
      </c>
      <c r="F16" s="27" t="str">
        <f t="shared" si="4"/>
        <v/>
      </c>
      <c r="G16" s="27" t="str">
        <f t="shared" si="4"/>
        <v/>
      </c>
      <c r="H16" s="27" t="str">
        <f t="shared" si="4"/>
        <v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 t="str">
        <f t="shared" ref="B21:H21" si="5">IF(COUNTA(B19:B20)=0,"",B19-B20)</f>
        <v/>
      </c>
      <c r="C21" s="27" t="str">
        <f t="shared" si="5"/>
        <v/>
      </c>
      <c r="D21" s="27" t="str">
        <f t="shared" si="5"/>
        <v/>
      </c>
      <c r="E21" s="27" t="str">
        <f t="shared" si="5"/>
        <v/>
      </c>
      <c r="F21" s="27" t="str">
        <f t="shared" si="5"/>
        <v/>
      </c>
      <c r="G21" s="27" t="str">
        <f t="shared" si="5"/>
        <v/>
      </c>
      <c r="H21" s="27" t="str">
        <f t="shared" si="5"/>
        <v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 t="str">
        <f>IF(COUNTA(B24:B25)=0,"",B24-B25)</f>
        <v/>
      </c>
      <c r="C26" s="27" t="str">
        <f>IF(COUNTA(C24:C25)=0,"",C24-C25)</f>
        <v/>
      </c>
      <c r="D26" s="27" t="str">
        <f>IF(COUNTA(D24:D25)=0,"",D24-D25)</f>
        <v/>
      </c>
      <c r="E26" s="27" t="str">
        <f>IF(COUNTA(E24:E25)=0,"",E24-E25)</f>
        <v/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 t="str">
        <f>IF(N37="","",N37-M37)</f>
        <v/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</f>
        <v>0</v>
      </c>
      <c r="I38" s="27">
        <f>SUM(I4,I9,I14,I19,I24,I29)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 t="str">
        <f>IF(N38="","",N38-M38)</f>
        <v/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 t="str">
        <f>IF(N39="","",N39-M39)</f>
        <v/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 t="str">
        <f>IF(OR(M40="",N40=""),"",N40-M40)</f>
        <v/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 t="str">
        <f>IF(OR(M41="",N41=""),"",N41-M41)</f>
        <v/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 t="str">
        <f>IF(N42="","",N42-M42)</f>
        <v/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 t="str">
        <f>IF(N43="","",N43-M43)</f>
        <v/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 t="str">
        <f>IF(AND(COUNT(B5:H5,B10:H10,B15:H15,B20:H20,B25:H25,B30:H30,N37:N43,N57:N59,D52:D61)=0,SUM(N64:N68)=0,COUNTIF(U4:U24,"확정")=0),"",C41-H44)</f>
        <v/>
      </c>
      <c r="I45" s="53" t="str">
        <f>IF(H45="","",C41-I44)</f>
        <v/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 t="str">
        <f t="shared" ref="F52:F61" si="6">IF(D52="","",D52-E52)</f>
        <v/>
      </c>
      <c r="G52" s="35"/>
      <c r="H52" s="27" t="str">
        <f t="shared" ref="H52:H61" si="7">IF(D52="","",F52-G52)</f>
        <v/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 t="str">
        <f t="shared" si="6"/>
        <v/>
      </c>
      <c r="G53" s="35"/>
      <c r="H53" s="34" t="str">
        <f t="shared" si="7"/>
        <v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 t="str">
        <f t="shared" si="6"/>
        <v/>
      </c>
      <c r="G54" s="35"/>
      <c r="H54" s="27" t="str">
        <f t="shared" si="7"/>
        <v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 t="str">
        <f t="shared" si="6"/>
        <v/>
      </c>
      <c r="G55" s="35"/>
      <c r="H55" s="34" t="str">
        <f t="shared" si="7"/>
        <v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 t="str">
        <f t="shared" si="6"/>
        <v/>
      </c>
      <c r="G56" s="35"/>
      <c r="H56" s="27" t="str">
        <f t="shared" si="7"/>
        <v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 t="str">
        <f t="shared" si="6"/>
        <v/>
      </c>
      <c r="G57" s="35"/>
      <c r="H57" s="34" t="str">
        <f t="shared" si="7"/>
        <v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 t="str">
        <f>IF(N57="","",N57-M57)</f>
        <v/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 t="str">
        <f t="shared" si="6"/>
        <v/>
      </c>
      <c r="G58" s="35"/>
      <c r="H58" s="27" t="str">
        <f t="shared" si="7"/>
        <v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 t="str">
        <f>IF(N58="","",N58-M58)</f>
        <v/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 t="str">
        <f t="shared" si="6"/>
        <v/>
      </c>
      <c r="G59" s="35"/>
      <c r="H59" s="34" t="str">
        <f t="shared" si="7"/>
        <v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 t="str">
        <f>IF(N59="","",N59-M59)</f>
        <v/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 t="str">
        <f t="shared" si="6"/>
        <v/>
      </c>
      <c r="G60" s="35"/>
      <c r="H60" s="27" t="str">
        <f t="shared" si="7"/>
        <v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 t="str">
        <f t="shared" si="6"/>
        <v/>
      </c>
      <c r="G61" s="35"/>
      <c r="H61" s="34" t="str">
        <f t="shared" si="7"/>
        <v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SUMIFS(잔액!$Y$64:$Y$500,잔액!$H$64:$H$500,DATE(2026,12,1),잔액!$C$64:$C$500,L64,잔액!$B$64:$B$500,"사용")+SUMIFS(잔액!$Y$64:$Y$500,잔액!$H$64:$H$500,DATE(2026,12,1),잔액!$C$64:$C$500,L64,잔액!$B$64:$B$500,"출금")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SUMIFS(잔액!$Y$64:$Y$500,잔액!$H$64:$H$500,DATE(2026,12,1),잔액!$C$64:$C$500,L65,잔액!$B$64:$B$500,"사용")+SUMIFS(잔액!$Y$64:$Y$500,잔액!$H$64:$H$500,DATE(2026,12,1),잔액!$C$64:$C$500,L65,잔액!$B$64:$B$500,"출금")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SUMIFS(잔액!$Y$64:$Y$500,잔액!$H$64:$H$500,DATE(2026,12,1),잔액!$C$64:$C$500,L66,잔액!$B$64:$B$500,"사용")+SUMIFS(잔액!$Y$64:$Y$500,잔액!$H$64:$H$500,DATE(2026,12,1),잔액!$C$64:$C$500,L66,잔액!$B$64:$B$500,"출금")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SUMIFS(잔액!$Y$64:$Y$500,잔액!$H$64:$H$500,DATE(2026,12,1),잔액!$C$64:$C$500,L67,잔액!$B$64:$B$500,"사용")+SUMIFS(잔액!$Y$64:$Y$500,잔액!$H$64:$H$500,DATE(2026,12,1),잔액!$C$64:$C$500,L67,잔액!$B$64:$B$500,"출금")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SUMIFS(잔액!$Y$64:$Y$500,잔액!$H$64:$H$500,DATE(2026,12,1),잔액!$C$64:$C$500,L68,잔액!$B$64:$B$500,"사용")+SUMIFS(잔액!$Y$64:$Y$500,잔액!$H$64:$H$500,DATE(2026,12,1),잔액!$C$64:$C$500,L68,잔액!$B$64:$B$500,"출금")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53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s">
        <v>763</v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s">
        <v>770</v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s">
        <v>784</v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s">
        <v>788</v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s">
        <v>1776</v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46306.815278032409</v>
      </c>
      <c r="B2422" s="78">
        <v>46296</v>
      </c>
      <c r="C2422" s="76" t="s">
        <v>147</v>
      </c>
      <c r="D2422" s="76" t="s">
        <v>906</v>
      </c>
      <c r="E2422" s="76"/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s">
        <v>1802</v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</sheetData>
  <autoFilter ref="A1:S2453" xr:uid="{00000000-0009-0000-0000-00001C000000}"/>
  <phoneticPr fontId="27" type="noConversion"/>
  <conditionalFormatting sqref="N2323:N2453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26</vt:i4>
      </vt:variant>
    </vt:vector>
  </HeadingPairs>
  <TitlesOfParts>
    <vt:vector size="71" baseType="lpstr">
      <vt:lpstr>사용안내</vt:lpstr>
      <vt:lpstr>검증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검증!Print_Area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