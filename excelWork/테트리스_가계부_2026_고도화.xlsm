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'10월'!$A$1:$V$86</definedName>
    <definedName name="_xlnm.Print_Area" localSheetId="22">'10월계산기'!$A$1:$W$155</definedName>
    <definedName name="_xlnm.Print_Area" localSheetId="23">'11월'!$A$1:$V$70</definedName>
    <definedName name="_xlnm.Print_Area" localSheetId="24">'11월계산기'!$A$1:$W$155</definedName>
    <definedName name="_xlnm.Print_Area" localSheetId="25">'12월'!$A$1:$V$70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'9월'!$A$1:$V$70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<sst xmlns="http://schemas.openxmlformats.org/spreadsheetml/2006/main" count="26787" uniqueCount="2558">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</sst>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55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10/18까지 실제 자료입니다. 미수령 급여·미결제 고정비·공동자금·대납은 월간 확인표에 별도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164건 중 WRAP 15건을 잔액 원장과 대조합니다. 타계좌 48건·카드사용 101건을 보존하며 충전·실제 결제를 중복 소비로 잡지 않습니다.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2026-10-18 기준 · WRAP RAW 15건 연결. 카카오페이 충전 15,700원 1회 차감. 카드 사용·타계좌 결제는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2553539</v>
      </c>
      <c r="F7" s="28">
        <f t="shared" ref="F7:F15" si="4">SUMIFS($Y$64:$Y$500,$D$64:$D$500,$A7,$H$64:$H$500,$B$3)-C7</f>
        <v>687510</v>
      </c>
      <c r="G7" s="28">
        <f t="shared" ref="G7:G15" si="5">B7+C7-D7-E7+F7</f>
        <v>4519766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2614539</v>
      </c>
      <c r="F16" s="32">
        <f t="shared" si="7"/>
        <v>748510</v>
      </c>
      <c r="G16" s="32">
        <f t="shared" si="7"/>
        <v>6669766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4519766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6669766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(13건)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46312.66737074074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카카오페이머니</v>
      </c>
      <c r="J38" s="313">
        <f t="shared" ref="J38:J59" si="17">IF($N38=0,"",INDEX($E$64:$E$500,$N38))</f>
        <v>15700</v>
      </c>
      <c r="K38" s="340" t="str">
        <f t="shared" ref="K38:K59" si="18">IF($N38=0,"",INDEX($F$64:$F$500,$N38))</f>
        <v>카카오페이 충전 · 플라잉 더치</v>
      </c>
      <c r="L38" s="342"/>
      <c r="M38" s="80">
        <f>IFERROR(MATCH(TEXT($V$35,"yyyymm")&amp;"_내역_"&amp;(38-37+($AA$35-1)*22),$R$64:$R$500,0),0)</f>
        <v>182</v>
      </c>
      <c r="N38" s="80">
        <f>IFERROR(MATCH(TEXT($V$35,"yyyymm")&amp;"_이체_"&amp;(38-37+($AB$35-1)*22),$R$64:$R$500,0),0)</f>
        <v>185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46310.9587962963</v>
      </c>
      <c r="H39" s="311" t="str">
        <f t="shared" si="15"/>
        <v>미래에셋 WRAP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생신 잔금 임시보관 → 생활비</v>
      </c>
      <c r="L39" s="342"/>
      <c r="M39" s="80">
        <f>IFERROR(MATCH(TEXT($V$35,"yyyymm")&amp;"_내역_"&amp;(39-37+($AA$35-1)*22),$R$64:$R$500,0),0)</f>
        <v>175</v>
      </c>
      <c r="N39" s="80">
        <f>IFERROR(MATCH(TEXT($V$35,"yyyymm")&amp;"_이체_"&amp;(39-37+($AB$35-1)*22),$R$64:$R$500,0),0)</f>
        <v>184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46310.93959303241</v>
      </c>
      <c r="H40" s="311" t="str">
        <f t="shared" si="15"/>
        <v>가족통장</v>
      </c>
      <c r="I40" s="311" t="str">
        <f t="shared" si="16"/>
        <v>미래에셋 WRAP</v>
      </c>
      <c r="J40" s="313">
        <f t="shared" si="17"/>
        <v>61000</v>
      </c>
      <c r="K40" s="340" t="str">
        <f t="shared" si="18"/>
        <v>부모 생신 미사용 원금 회수</v>
      </c>
      <c r="L40" s="342"/>
      <c r="M40" s="80">
        <f>IFERROR(MATCH(TEXT($V$35,"yyyymm")&amp;"_내역_"&amp;(40-37+($AA$35-1)*22),$R$64:$R$500,0),0)</f>
        <v>179</v>
      </c>
      <c r="N40" s="80">
        <f>IFERROR(MATCH(TEXT($V$35,"yyyymm")&amp;"_이체_"&amp;(40-37+($AB$35-1)*22),$R$64:$R$500,0),0)</f>
        <v>183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46308.851395949074</v>
      </c>
      <c r="H41" s="311" t="str">
        <f t="shared" si="15"/>
        <v>신한은행V2</v>
      </c>
      <c r="I41" s="311" t="str">
        <f t="shared" si="16"/>
        <v>미래에셋 WRAP</v>
      </c>
      <c r="J41" s="313">
        <f t="shared" si="17"/>
        <v>22210</v>
      </c>
      <c r="K41" s="340" t="str">
        <f t="shared" si="18"/>
        <v>신한은행V2 → 미래에셋 WRAP</v>
      </c>
      <c r="L41" s="342"/>
      <c r="M41" s="80">
        <f>IFERROR(MATCH(TEXT($V$35,"yyyymm")&amp;"_내역_"&amp;(41-37+($AA$35-1)*22),$R$64:$R$500,0),0)</f>
        <v>0</v>
      </c>
      <c r="N41" s="80">
        <f>IFERROR(MATCH(TEXT($V$35,"yyyymm")&amp;"_이체_"&amp;(41-37+($AB$35-1)*22),$R$64:$R$500,0),0)</f>
        <v>168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46308.850696064816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236270</v>
      </c>
      <c r="K42" s="340" t="str">
        <f t="shared" si="18"/>
        <v>미래에셋 WRAP → 토스뱅크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169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46308.85000755787</v>
      </c>
      <c r="H43" s="311" t="str">
        <f t="shared" si="15"/>
        <v>미래에셋 WRAP</v>
      </c>
      <c r="I43" s="311" t="str">
        <f t="shared" si="16"/>
        <v>우리은행</v>
      </c>
      <c r="J43" s="313">
        <f t="shared" si="17"/>
        <v>246568</v>
      </c>
      <c r="K43" s="340" t="str">
        <f t="shared" si="18"/>
        <v>미래에셋 WRAP → 우리은행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170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46308.848613587965</v>
      </c>
      <c r="H44" s="311" t="str">
        <f t="shared" si="15"/>
        <v>미래에셋 WRAP</v>
      </c>
      <c r="I44" s="311" t="str">
        <f t="shared" si="16"/>
        <v>국민은행</v>
      </c>
      <c r="J44" s="313">
        <f t="shared" si="17"/>
        <v>360550</v>
      </c>
      <c r="K44" s="340" t="str">
        <f t="shared" si="18"/>
        <v>미래에셋 WRAP → 국민은행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171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46308.84792493055</v>
      </c>
      <c r="H45" s="311" t="str">
        <f t="shared" si="15"/>
        <v>미래에셋 WRAP</v>
      </c>
      <c r="I45" s="311" t="str">
        <f t="shared" si="16"/>
        <v>토스뱅크</v>
      </c>
      <c r="J45" s="313">
        <f t="shared" si="17"/>
        <v>798746</v>
      </c>
      <c r="K45" s="340" t="str">
        <f t="shared" si="18"/>
        <v>미래에셋 WRAP → 토스뱅크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172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46308.84583777778</v>
      </c>
      <c r="H46" s="311" t="str">
        <f t="shared" si="15"/>
        <v>토스뱅크</v>
      </c>
      <c r="I46" s="311" t="str">
        <f t="shared" si="16"/>
        <v>미래에셋 WRAP</v>
      </c>
      <c r="J46" s="313">
        <f t="shared" si="17"/>
        <v>604300</v>
      </c>
      <c r="K46" s="340" t="str">
        <f t="shared" si="18"/>
        <v>토스뱅크 → 미래에셋 WRAP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173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46308.74901017361</v>
      </c>
      <c r="H47" s="311" t="str">
        <f t="shared" si="15"/>
        <v>미래에셋 WRAP</v>
      </c>
      <c r="I47" s="311" t="str">
        <f t="shared" si="16"/>
        <v>새마을금고</v>
      </c>
      <c r="J47" s="313">
        <f t="shared" si="17"/>
        <v>753905</v>
      </c>
      <c r="K47" s="340" t="str">
        <f t="shared" si="18"/>
        <v>미래에셋 WRAP → 새마을금고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174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46307.82500104167</v>
      </c>
      <c r="H48" s="311" t="str">
        <f t="shared" si="15"/>
        <v>미래에셋 WRAP</v>
      </c>
      <c r="I48" s="311" t="str">
        <f t="shared" si="16"/>
        <v>카카오뱅크</v>
      </c>
      <c r="J48" s="313">
        <f t="shared" si="17"/>
        <v>1390</v>
      </c>
      <c r="K48" s="340" t="str">
        <f t="shared" si="18"/>
        <v>미래에셋 WRAP → 카카오뱅크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176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46307.82431055555</v>
      </c>
      <c r="H49" s="311" t="str">
        <f t="shared" si="15"/>
        <v>미래에셋 WRAP</v>
      </c>
      <c r="I49" s="311" t="str">
        <f t="shared" si="16"/>
        <v>신한은행</v>
      </c>
      <c r="J49" s="313">
        <f t="shared" si="17"/>
        <v>90410</v>
      </c>
      <c r="K49" s="340" t="str">
        <f t="shared" si="18"/>
        <v>미래에셋 WRAP → 신한은행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177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  <v>46299.620147118054</v>
      </c>
      <c r="H50" s="311" t="str">
        <f t="shared" si="15"/>
        <v>미래에셋 WRAP</v>
      </c>
      <c r="I50" s="311" t="str">
        <f t="shared" si="16"/>
        <v>모임통장</v>
      </c>
      <c r="J50" s="313">
        <f t="shared" si="17"/>
        <v>50000</v>
      </c>
      <c r="K50" s="340" t="str">
        <f t="shared" si="18"/>
        <v>미래에셋 WRAP → 모임통장</v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178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202610_이체_4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5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202610_이체_5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6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202610_이체_6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7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202610_이체_7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8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202610_이체_8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9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202610_이체_9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202610_이체_10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11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12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202610_이체_11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13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202610_이체_12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14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202610_이체_13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15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16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4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202610_이체_3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3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202610_이체_2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2</v>
      </c>
    </row>
    <row r="248" spans="1:25" ht="68" hidden="1" customHeight="1" outlineLevel="1">
      <c r="A248" s="314">
        <v>46312.66737074074</v>
      </c>
      <c r="B248" s="315" t="inlineStr">
        <is>
          <t xml:space="preserve">이체</t>
        </is>
      </c>
      <c r="C248" s="315" t="inlineStr">
        <is>
          <t xml:space="preserve">생활비</t>
        </is>
      </c>
      <c r="D248" s="315" t="inlineStr">
        <is>
          <t xml:space="preserve">외부</t>
        </is>
      </c>
      <c r="E248" s="316">
        <v>15700</v>
      </c>
      <c r="F248" s="315" t="inlineStr">
        <is>
          <t xml:space="preserve">카카오페이 충전 · 플라잉 더치</t>
        </is>
      </c>
      <c r="G248" s="315" t="inlineStr">
        <is>
          <t xml:space="preserve">KP20261017-01 · 플라잉 더치 구매 연결(사용자 확인). 충전 RAW 2475행 15,700원 + 양배추 대납 회수 RAW 2376행 1,300원 = 구매 RAW 2474행 17,000원. 현금은 충전에서만 차감, 소비는 구매에서만 집계.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WRAP계좌이체</t>
        </is>
      </c>
      <c r="P248" t="str">
        <f t="shared" si="37"/>
        <v>이체</v>
      </c>
      <c r="Q248" t="str">
        <f t="shared" si="38"/>
        <v>이체</v>
      </c>
      <c r="R248" t="str">
        <f>IF(P248="","",TEXT(H248,"yyyymm")&amp;"_"&amp;P248&amp;"_"&amp;(COUNTIFS($H$64:$H$500,H248,$P$64:$P$500,P248,$A$64:$A$500,"&gt;"&amp;A248)+COUNTIFS($H$64:H248,H248,$P$64:P248,P248,$A$64:A248,A248)))</f>
        <v>202610_이체_1</v>
      </c>
      <c r="S248" t="str">
        <f t="shared" si="39"/>
        <v>외부</v>
      </c>
      <c r="T248">
        <f t="shared" si="40"/>
        <v>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1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16건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16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10/17 16:01</v>
      </c>
      <c r="B503" s="311" t="str">
        <f>IF($AA503=0,"",IF(INDEX($B$64:$B$500,MAX(1,$AA503))="","",INDEX($B$64:$B$500,MAX(1,$AA503))))</f>
        <v>이체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외부</v>
      </c>
      <c r="E503" s="28">
        <f>IF($AA503=0,"",INDEX($E$64:$E$500,MAX(1,$AA503)))</f>
        <v>15700</v>
      </c>
      <c r="F503" s="311" t="str">
        <f>IF($AA503=0,"",IF(INDEX($F$64:$F$500,MAX(1,$AA503))="","",INDEX($F$64:$F$500,MAX(1,$AA503))))</f>
        <v>카카오페이 충전 · 플라잉 더치</v>
      </c>
      <c r="G503" s="90" t="str">
        <f>IF($AA503=0,"",LEFT(INDEX($G$64:$G$500,MAX(1,$AA503)),40)&amp;IF(LEN(INDEX($G$64:$G$500,MAX(1,$AA503)))&gt;40,"…",""))</f>
        <v>KP20261017-01 · 플라잉 더치 구매 연결(사용자 확인). 충전…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카카오페이머니</v>
      </c>
      <c r="L503" s="311" t="str">
        <f>IF($AA503=0,"",HYPERLINK("#'잔액'!A"&amp;($AA503+63),"원장 "&amp;($AA503+63)&amp;"행 ↗"))</f>
        <v>원장 248행 ↗</v>
      </c>
      <c r="AA503">
        <f>IFERROR(MATCH(($AA$501-1)*22+1,$Z$64:$Z$500,0),0)</f>
        <v>185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23:00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임시보관</v>
      </c>
      <c r="D504" s="311" t="str">
        <f>IF($AA504=0,"",IF(INDEX($D$64:$D$500,MAX(1,$AA504))="","",INDEX($D$64:$D$500,MAX(1,$AA504))))</f>
        <v>생활비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생신 잔금 임시보관 → 생활비</v>
      </c>
      <c r="G504" s="90" t="str">
        <f>IF($AA504=0,"",LEFT(INDEX($G$64:$G$500,MAX(1,$AA504)),40)&amp;IF(LEN(INDEX($G$64:$G$500,MAX(1,$AA504)))&gt;40,"…",""))</f>
        <v>사용자 요청으로 회수 원금 61,000원을 생활비로 분류 이동. 날짜는 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247행 ↗</v>
      </c>
      <c r="AA504">
        <f>IFERROR(MATCH(($AA$501-1)*22+2,$Z$64:$Z$500,0),0)</f>
        <v>184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22:33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임시보관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부모 생신 미사용 원금 회수</v>
      </c>
      <c r="G505" s="90" t="str">
        <f>IF($AA505=0,"",LEFT(INDEX($G$64:$G$500,MAX(1,$AA505)),40)&amp;IF(LEN(INDEX($G$64:$G$500,MAX(1,$AA505)))&gt;40,"…",""))</f>
        <v>RAW 2466행. 8월 가족통장 납입 100,000 중 행사 39,00…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가족통장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246행 ↗</v>
      </c>
      <c r="AA505">
        <f>IFERROR(MATCH(($AA$501-1)*22+3,$Z$64:$Z$500,0),0)</f>
        <v>183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20:37</v>
      </c>
      <c r="B506" s="311" t="str">
        <f>IF($AA506=0,"",IF(INDEX($B$64:$B$500,MAX(1,$AA506))="","",INDEX($B$64:$B$500,MAX(1,$AA506))))</f>
        <v>입금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535</v>
      </c>
      <c r="F506" s="311" t="str">
        <f>IF($AA506=0,"",IF(INDEX($F$64:$F$500,MAX(1,$AA506))="","",INDEX($F$64:$F$500,MAX(1,$AA506))))</f>
        <v>미래에셋 WRAP 이자</v>
      </c>
      <c r="G506" s="90" t="str">
        <f>IF($AA506=0,"",LEFT(INDEX($G$64:$G$500,MAX(1,$AA506)),40)&amp;IF(LEN(INDEX($G$64:$G$500,MAX(1,$AA506)))&gt;40,"…",""))</f>
        <v>RAW 2454행 · 10/13 추가 이자 535원. 10/15 RAW 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외부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245행 ↗</v>
      </c>
      <c r="AA506">
        <f>IFERROR(MATCH(($AA$501-1)*22+4,$Z$64:$Z$500,0),0)</f>
        <v>182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20:26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22210</v>
      </c>
      <c r="F507" s="311" t="str">
        <f>IF($AA507=0,"",IF(INDEX($F$64:$F$500,MAX(1,$AA507))="","",INDEX($F$64:$F$500,MAX(1,$AA507))))</f>
        <v>신한은행V2 → 미래에셋 WRAP</v>
      </c>
      <c r="G507" s="90" t="str">
        <f>IF($AA507=0,"",LEFT(INDEX($G$64:$G$500,MAX(1,$AA507)),40)&amp;IF(LEN(INDEX($G$64:$G$500,MAX(1,$AA507)))&gt;40,"…",""))</f>
        <v>RAW 2453행 · WRAP 이체입금 22,210원. WRAP에서 나가…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신한은행V2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231행 ↗</v>
      </c>
      <c r="AA507">
        <f>IFERROR(MATCH(($AA$501-1)*22+5,$Z$64:$Z$500,0),0)</f>
        <v>168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20:25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236270</v>
      </c>
      <c r="F508" s="311" t="str">
        <f>IF($AA508=0,"",IF(INDEX($F$64:$F$500,MAX(1,$AA508))="","",INDEX($F$64:$F$500,MAX(1,$AA508))))</f>
        <v>미래에셋 WRAP → 토스뱅크</v>
      </c>
      <c r="G508" s="90" t="str">
        <f>IF($AA508=0,"",LEFT(INDEX($G$64:$G$500,MAX(1,$AA508)),40)&amp;IF(LEN(INDEX($G$64:$G$500,MAX(1,$AA508)))&gt;40,"…",""))</f>
        <v>RAW 2452행 · WRAP 이체출금 236,270원.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토스뱅크</v>
      </c>
      <c r="L508" s="311" t="str">
        <f>IF($AA508=0,"",HYPERLINK("#'잔액'!A"&amp;($AA508+63),"원장 "&amp;($AA508+63)&amp;"행 ↗"))</f>
        <v>원장 232행 ↗</v>
      </c>
      <c r="AA508">
        <f>IFERROR(MATCH(($AA$501-1)*22+6,$Z$64:$Z$500,0),0)</f>
        <v>169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20:24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246568</v>
      </c>
      <c r="F509" s="311" t="str">
        <f>IF($AA509=0,"",IF(INDEX($F$64:$F$500,MAX(1,$AA509))="","",INDEX($F$64:$F$500,MAX(1,$AA509))))</f>
        <v>미래에셋 WRAP → 우리은행</v>
      </c>
      <c r="G509" s="90" t="str">
        <f>IF($AA509=0,"",LEFT(INDEX($G$64:$G$500,MAX(1,$AA509)),40)&amp;IF(LEN(INDEX($G$64:$G$500,MAX(1,$AA509)))&gt;40,"…",""))</f>
        <v>RAW 2451행 · WRAP 이체출금 246,568원.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우리은행</v>
      </c>
      <c r="L509" s="311" t="str">
        <f>IF($AA509=0,"",HYPERLINK("#'잔액'!A"&amp;($AA509+63),"원장 "&amp;($AA509+63)&amp;"행 ↗"))</f>
        <v>원장 233행 ↗</v>
      </c>
      <c r="AA509">
        <f>IFERROR(MATCH(($AA$501-1)*22+7,$Z$64:$Z$500,0),0)</f>
        <v>170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20:22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360550</v>
      </c>
      <c r="F510" s="311" t="str">
        <f>IF($AA510=0,"",IF(INDEX($F$64:$F$500,MAX(1,$AA510))="","",INDEX($F$64:$F$500,MAX(1,$AA510))))</f>
        <v>미래에셋 WRAP → 국민은행</v>
      </c>
      <c r="G510" s="90" t="str">
        <f>IF($AA510=0,"",LEFT(INDEX($G$64:$G$500,MAX(1,$AA510)),40)&amp;IF(LEN(INDEX($G$64:$G$500,MAX(1,$AA510)))&gt;40,"…",""))</f>
        <v>RAW 2450행 · WRAP 이체출금 360,550원.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국민은행</v>
      </c>
      <c r="L510" s="311" t="str">
        <f>IF($AA510=0,"",HYPERLINK("#'잔액'!A"&amp;($AA510+63),"원장 "&amp;($AA510+63)&amp;"행 ↗"))</f>
        <v>원장 234행 ↗</v>
      </c>
      <c r="AA510">
        <f>IFERROR(MATCH(($AA$501-1)*22+8,$Z$64:$Z$500,0),0)</f>
        <v>171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20:21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798746</v>
      </c>
      <c r="F511" s="311" t="str">
        <f>IF($AA511=0,"",IF(INDEX($F$64:$F$500,MAX(1,$AA511))="","",INDEX($F$64:$F$500,MAX(1,$AA511))))</f>
        <v>미래에셋 WRAP → 토스뱅크</v>
      </c>
      <c r="G511" s="90" t="str">
        <f>IF($AA511=0,"",LEFT(INDEX($G$64:$G$500,MAX(1,$AA511)),40)&amp;IF(LEN(INDEX($G$64:$G$500,MAX(1,$AA511)))&gt;40,"…",""))</f>
        <v>RAW 2449행 · WRAP 이체출금 798,746원.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토스뱅크</v>
      </c>
      <c r="L511" s="311" t="str">
        <f>IF($AA511=0,"",HYPERLINK("#'잔액'!A"&amp;($AA511+63),"원장 "&amp;($AA511+63)&amp;"행 ↗"))</f>
        <v>원장 235행 ↗</v>
      </c>
      <c r="AA511">
        <f>IFERROR(MATCH(($AA$501-1)*22+9,$Z$64:$Z$500,0),0)</f>
        <v>172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20:18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외부</v>
      </c>
      <c r="D512" s="311" t="str">
        <f>IF($AA512=0,"",IF(INDEX($D$64:$D$500,MAX(1,$AA512))="","",INDEX($D$64:$D$500,MAX(1,$AA512))))</f>
        <v>생활비</v>
      </c>
      <c r="E512" s="28">
        <f>IF($AA512=0,"",INDEX($E$64:$E$500,MAX(1,$AA512)))</f>
        <v>604300</v>
      </c>
      <c r="F512" s="311" t="str">
        <f>IF($AA512=0,"",IF(INDEX($F$64:$F$500,MAX(1,$AA512))="","",INDEX($F$64:$F$500,MAX(1,$AA512))))</f>
        <v>토스뱅크 → 미래에셋 WRAP</v>
      </c>
      <c r="G512" s="90" t="str">
        <f>IF($AA512=0,"",LEFT(INDEX($G$64:$G$500,MAX(1,$AA512)),40)&amp;IF(LEN(INDEX($G$64:$G$500,MAX(1,$AA512)))&gt;40,"…",""))</f>
        <v>RAW 2448행 · WRAP 이체입금 604,300원.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토스뱅크</v>
      </c>
      <c r="K512" s="311" t="str">
        <f>IF($AA512=0,"",IF(INDEX($K$64:$K$500,MAX(1,$AA512))="","",INDEX($K$64:$K$500,MAX(1,$AA512))))</f>
        <v>미래에셋_WRAP형CMA</v>
      </c>
      <c r="L512" s="311" t="str">
        <f>IF($AA512=0,"",HYPERLINK("#'잔액'!A"&amp;($AA512+63),"원장 "&amp;($AA512+63)&amp;"행 ↗"))</f>
        <v>원장 236행 ↗</v>
      </c>
      <c r="AA512">
        <f>IFERROR(MATCH(($AA$501-1)*22+10,$Z$64:$Z$500,0),0)</f>
        <v>173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17:58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생활비</v>
      </c>
      <c r="D513" s="311" t="str">
        <f>IF($AA513=0,"",IF(INDEX($D$64:$D$500,MAX(1,$AA513))="","",INDEX($D$64:$D$500,MAX(1,$AA513))))</f>
        <v>외부</v>
      </c>
      <c r="E513" s="28">
        <f>IF($AA513=0,"",INDEX($E$64:$E$500,MAX(1,$AA513)))</f>
        <v>753905</v>
      </c>
      <c r="F513" s="311" t="str">
        <f>IF($AA513=0,"",IF(INDEX($F$64:$F$500,MAX(1,$AA513))="","",INDEX($F$64:$F$500,MAX(1,$AA513))))</f>
        <v>미래에셋 WRAP → 새마을금고</v>
      </c>
      <c r="G513" s="90" t="str">
        <f>IF($AA513=0,"",LEFT(INDEX($G$64:$G$500,MAX(1,$AA513)),40)&amp;IF(LEN(INDEX($G$64:$G$500,MAX(1,$AA513)))&gt;40,"…",""))</f>
        <v>RAW 2446행 · WRAP 이체출금 753,905원.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미래에셋_WRAP형CMA</v>
      </c>
      <c r="K513" s="311" t="str">
        <f>IF($AA513=0,"",IF(INDEX($K$64:$K$500,MAX(1,$AA513))="","",INDEX($K$64:$K$500,MAX(1,$AA513))))</f>
        <v>새마을금고</v>
      </c>
      <c r="L513" s="311" t="str">
        <f>IF($AA513=0,"",HYPERLINK("#'잔액'!A"&amp;($AA513+63),"원장 "&amp;($AA513+63)&amp;"행 ↗"))</f>
        <v>원장 237행 ↗</v>
      </c>
      <c r="AA513">
        <f>IFERROR(MATCH(($AA$501-1)*22+11,$Z$64:$Z$500,0),0)</f>
        <v>174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20:14</v>
      </c>
      <c r="B514" s="311" t="str">
        <f>IF($AA514=0,"",IF(INDEX($B$64:$B$500,MAX(1,$AA514))="","",INDEX($B$64:$B$500,MAX(1,$AA514))))</f>
        <v>입금</v>
      </c>
      <c r="C514" s="311" t="str">
        <f>IF($AA514=0,"",IF(INDEX($C$64:$C$500,MAX(1,$AA514))="","",INDEX($C$64:$C$500,MAX(1,$AA514))))</f>
        <v>외부</v>
      </c>
      <c r="D514" s="311" t="str">
        <f>IF($AA514=0,"",IF(INDEX($D$64:$D$500,MAX(1,$AA514))="","",INDEX($D$64:$D$500,MAX(1,$AA514))))</f>
        <v>생활비</v>
      </c>
      <c r="E514" s="28">
        <f>IF($AA514=0,"",INDEX($E$64:$E$500,MAX(1,$AA514)))</f>
        <v>8557</v>
      </c>
      <c r="F514" s="311" t="str">
        <f>IF($AA514=0,"",IF(INDEX($F$64:$F$500,MAX(1,$AA514))="","",INDEX($F$64:$F$500,MAX(1,$AA514))))</f>
        <v>미래에셋 WRAP 이자</v>
      </c>
      <c r="G514" s="90" t="str">
        <f>IF($AA514=0,"",LEFT(INDEX($G$64:$G$500,MAX(1,$AA514)),40)&amp;IF(LEN(INDEX($G$64:$G$500,MAX(1,$AA514)))&gt;40,"…",""))</f>
        <v>RAW 2442행 · WRAP 입금 8,557원. 실제 자산은 미래에셋_…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외부</v>
      </c>
      <c r="K514" s="311" t="str">
        <f>IF($AA514=0,"",IF(INDEX($K$64:$K$500,MAX(1,$AA514))="","",INDEX($K$64:$K$500,MAX(1,$AA514))))</f>
        <v>미래에셋_WRAP형CMA</v>
      </c>
      <c r="L514" s="311" t="str">
        <f>IF($AA514=0,"",HYPERLINK("#'잔액'!A"&amp;($AA514+63),"원장 "&amp;($AA514+63)&amp;"행 ↗"))</f>
        <v>원장 238행 ↗</v>
      </c>
      <c r="AA514">
        <f>IFERROR(MATCH(($AA$501-1)*22+12,$Z$64:$Z$500,0),0)</f>
        <v>175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19:48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1390</v>
      </c>
      <c r="F515" s="311" t="str">
        <f>IF($AA515=0,"",IF(INDEX($F$64:$F$500,MAX(1,$AA515))="","",INDEX($F$64:$F$500,MAX(1,$AA515))))</f>
        <v>미래에셋 WRAP → 카카오뱅크</v>
      </c>
      <c r="G515" s="90" t="str">
        <f>IF($AA515=0,"",LEFT(INDEX($G$64:$G$500,MAX(1,$AA515)),40)&amp;IF(LEN(INDEX($G$64:$G$500,MAX(1,$AA515)))&gt;40,"…",""))</f>
        <v>RAW 2430행 · WRAP 이체출금 1,390원. WRAP에서 나가면…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카카오뱅크</v>
      </c>
      <c r="L515" s="311" t="str">
        <f>IF($AA515=0,"",HYPERLINK("#'잔액'!A"&amp;($AA515+63),"원장 "&amp;($AA515+63)&amp;"행 ↗"))</f>
        <v>원장 239행 ↗</v>
      </c>
      <c r="AA515">
        <f>IFERROR(MATCH(($AA$501-1)*22+13,$Z$64:$Z$500,0),0)</f>
        <v>176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19:47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90410</v>
      </c>
      <c r="F516" s="311" t="str">
        <f>IF($AA516=0,"",IF(INDEX($F$64:$F$500,MAX(1,$AA516))="","",INDEX($F$64:$F$500,MAX(1,$AA516))))</f>
        <v>미래에셋 WRAP → 신한은행</v>
      </c>
      <c r="G516" s="90" t="str">
        <f>IF($AA516=0,"",LEFT(INDEX($G$64:$G$500,MAX(1,$AA516)),40)&amp;IF(LEN(INDEX($G$64:$G$500,MAX(1,$AA516)))&gt;40,"…",""))</f>
        <v>RAW 2429행 · WRAP 이체출금 90,410원.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신한은행</v>
      </c>
      <c r="L516" s="311" t="str">
        <f>IF($AA516=0,"",HYPERLINK("#'잔액'!A"&amp;($AA516+63),"원장 "&amp;($AA516+63)&amp;"행 ↗"))</f>
        <v>원장 240행 ↗</v>
      </c>
      <c r="AA516">
        <f>IFERROR(MATCH(($AA$501-1)*22+14,$Z$64:$Z$500,0),0)</f>
        <v>177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10/4 14:53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50000</v>
      </c>
      <c r="F517" s="311" t="str">
        <f>IF($AA517=0,"",IF(INDEX($F$64:$F$500,MAX(1,$AA517))="","",INDEX($F$64:$F$500,MAX(1,$AA517))))</f>
        <v>미래에셋 WRAP → 모임통장</v>
      </c>
      <c r="G517" s="90" t="str">
        <f>IF($AA517=0,"",LEFT(INDEX($G$64:$G$500,MAX(1,$AA517)),40)&amp;IF(LEN(INDEX($G$64:$G$500,MAX(1,$AA517)))&gt;40,"…",""))</f>
        <v>RAW 2347행 · WRAP 이체출금 50,000원.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모임통장</v>
      </c>
      <c r="L517" s="311" t="str">
        <f>IF($AA517=0,"",HYPERLINK("#'잔액'!A"&amp;($AA517+63),"원장 "&amp;($AA517+63)&amp;"행 ↗"))</f>
        <v>원장 241행 ↗</v>
      </c>
      <c r="AA517">
        <f>IFERROR(MATCH(($AA$501-1)*22+15,$Z$64:$Z$500,0),0)</f>
        <v>178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10/2 14:56</v>
      </c>
      <c r="B518" s="311" t="str">
        <f>IF($AA518=0,"",IF(INDEX($B$64:$B$500,MAX(1,$AA518))="","",INDEX($B$64:$B$500,MAX(1,$AA518))))</f>
        <v>사용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지출</v>
      </c>
      <c r="E518" s="28">
        <f>IF($AA518=0,"",INDEX($E$64:$E$500,MAX(1,$AA518)))</f>
        <v>11900</v>
      </c>
      <c r="F518" s="311" t="str">
        <f>IF($AA518=0,"",IF(INDEX($F$64:$F$500,MAX(1,$AA518))="","",INDEX($F$64:$F$500,MAX(1,$AA518))))</f>
        <v>두끼떡볶이</v>
      </c>
      <c r="G518" s="90" t="str">
        <f>IF($AA518=0,"",LEFT(INDEX($G$64:$G$500,MAX(1,$AA518)),40)&amp;IF(LEN(INDEX($G$64:$G$500,MAX(1,$AA518)))&gt;40,"…",""))</f>
        <v>RAW 2334행 · WRAP 출금 11,900원. 실제 자산은 미래에셋…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외부</v>
      </c>
      <c r="L518" s="311" t="str">
        <f>IF($AA518=0,"",HYPERLINK("#'잔액'!A"&amp;($AA518+63),"원장 "&amp;($AA518+63)&amp;"행 ↗"))</f>
        <v>원장 242행 ↗</v>
      </c>
      <c r="AA518">
        <f>IFERROR(MATCH(($AA$501-1)*22+16,$Z$64:$Z$500,0),0)</f>
        <v>179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46313.0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10/18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10/18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10/18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10/18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10/18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10/18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10/18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10/18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10/18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$2486&gt;=D13)*(RAW!$A$2323:$A$2486&lt;D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E14" s="35">
        <f>SUMPRODUCT((RAW!$A$2323:$A$2486&gt;=E13)*(RAW!$A$2323:$A$2486&lt;E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20000</v>
      </c>
      <c r="F14" s="35">
        <f>SUMPRODUCT((RAW!$A$2323:$A$2486&gt;=F13)*(RAW!$A$2323:$A$2486&lt;F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23000</v>
      </c>
      <c r="G14" s="35">
        <f>SUMPRODUCT((RAW!$A$2323:$A$2486&gt;=G13)*(RAW!$A$2323:$A$2486&lt;G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H14" s="35">
        <f>SUMPRODUCT((RAW!$A$2323:$A$2486&gt;=H13)*(RAW!$A$2323:$A$2486&lt;H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94000</v>
      </c>
      <c r="I14" s="45">
        <f>SUM(B14:H14)</f>
        <v>508000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10/18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92630</v>
      </c>
      <c r="I15" s="45">
        <f>SUM(B15:H15)</f>
        <v>501080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10/18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1370</v>
      </c>
      <c r="I16" s="45">
        <f>SUM(B16:H16)</f>
        <v>6920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10/18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10/18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10/18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10/18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10/18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10/18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10/18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10/18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1501000</v>
      </c>
      <c r="N28" s="367"/>
      <c r="O28" s="429" t="s">
        <v>234</v>
      </c>
      <c r="P28" s="367"/>
      <c r="Q28" s="431">
        <f>'10월계산기'!W12</f>
        <v>1501000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1501000</v>
      </c>
      <c r="N29" s="367"/>
      <c r="O29" s="429" t="s">
        <v>239</v>
      </c>
      <c r="P29" s="367"/>
      <c r="Q29" s="431">
        <f>'10월계산기'!W13</f>
        <v>1501000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24100</v>
      </c>
      <c r="N30" s="367"/>
      <c r="O30" s="429" t="s">
        <v>514</v>
      </c>
      <c r="P30" s="367"/>
      <c r="Q30" s="431">
        <f>SUM(I4,I9,I14,I19,I24,I29)-I33</f>
        <v>24100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1476900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1476900</v>
      </c>
      <c r="I38" s="27">
        <f>SUM(I4,I9,I14,I19,I24,I29)-'_예비비계산'!AH11</f>
        <v>1501000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1995922</v>
      </c>
      <c r="I44" s="37">
        <f>SUM(I37:I42)+I47-I43</f>
        <v>2024000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-1486639</v>
      </c>
      <c r="I45" s="113">
        <f>IF(H45="","",C41-I44)</f>
        <v>-1514717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44" customHeight="1">
      <c r="A53" s="96">
        <f>INT(RAW!A2474)</f>
        <v>46312.0</v>
      </c>
      <c r="B53" s="35" t="inlineStr">
        <is>
          <t xml:space="preserve">선불금</t>
        </is>
      </c>
      <c r="C53" s="101" t="inlineStr">
        <is>
          <t xml:space="preserve">플라잉 더치</t>
        </is>
      </c>
      <c r="D53" s="35">
        <f>RAW!K2474</f>
        <v>17000</v>
      </c>
      <c r="E53" s="35"/>
      <c r="F53" s="27">
        <f t="shared" si="6"/>
        <v>17000</v>
      </c>
      <c r="G53" s="35">
        <f>RAW!K2474</f>
        <v>17000</v>
      </c>
      <c r="H53" s="27">
        <f t="shared" si="7"/>
        <v>0</v>
      </c>
      <c r="I53" s="101" t="inlineStr">
        <is>
          <t xml:space="preserve">카카오페이머니: 달력에 1회 집계, 추가 합산 0원.</t>
        </is>
      </c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10/1~18 RAW 164건. 기존 144건 유지 + 신규 20건. 본인 생활비 177,160원 추가; 공금 사용·카카오페이 충전은 중복 소비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10/18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f>SUMIFS(RAW!$G$2323:$G$2486,RAW!$C$2323:$C$2486,"모임통장",RAW!$H$2323:$H$2486,"지출")</f>
        <v>357230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SUMIFS(RAW!$G$2323:$G$2486,RAW!$C$2323:$C$2486,"가족통장",RAW!$H$2323:$H$2486,"지출")+SUMIFS(RAW!$G$2323:$G$2486,RAW!$C$2323:$C$2486,"가족통장",RAW!$H$2323:$H$2486,"이체지출")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SUMIFS(RAW!$G$2323:$G$2486,RAW!$J$2323:$J$2486,"대납",RAW!$L$2323:$L$2486,"정산대기",RAW!$H$2323:$H$2486,"지출")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1476900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1501000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COUNT(RAW!G2323:G2486)-164</f>
        <v>0</v>
      </c>
      <c r="F83" s="473"/>
      <c r="G83" s="473"/>
      <c r="H83" s="474"/>
      <c r="J83" s="475" t="inlineStr">
        <is>
          <t xml:space="preserve">0이면 최신 10/18 첨부 RAW 164건 모두 유지. 기존 분류·행번호 보존.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I33-1476900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SUM(I4,I9,I14,I19,I24,I29)-1501000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-1995922</v>
      </c>
      <c r="F86" s="473"/>
      <c r="G86" s="473"/>
      <c r="H86" s="474"/>
      <c r="J86" s="475" t="inlineStr">
        <is>
          <t xml:space="preserve">급여 미입금: 10/18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323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323000</v>
      </c>
      <c r="AA3">
        <v>323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75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75000</v>
      </c>
      <c r="AA4">
        <v>75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126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126000</v>
      </c>
      <c r="AA6">
        <v>126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147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147000</v>
      </c>
      <c r="AA7">
        <v>147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277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277000</v>
      </c>
      <c r="AA9">
        <v>277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1501000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1501000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1501000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1501000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1501000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10/18까지 본인 생활비 반영. 이전 색상·블록 유지 + 180칸 추가. 공금 사용·미회수 대납 103,600원·생신 예비비 239,000원은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8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2026-10-18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10/1~18 RAW 164건: 기존 144건 유지 + 신규 20건. WRAP 15건 연결·타계좌 48건·카드사용 101건.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inlineStr">
        <is>
          <t xml:space="preserve">양배추 대리구매</t>
        </is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inlineStr">
        <is>
          <t xml:space="preserve"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      </is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플라잉 더치 구매 RAW 2474행 17,000원의 재원: 이번 충전 15,700원 + 이미 회수한 양배추 대납금 1,300원(RAW 2376행). WRAP 원장 248행에서 충전만 차감하며 소비 재합산 제외. 원본 입력 시각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</sheetData>
  <autoFilter ref="A1:S2486" xr:uid="{00000000-0009-0000-0000-00001C000000}"/>
  <phoneticPr fontId="27" type="noConversion"/>
  <conditionalFormatting sqref="N2323:N248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