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o365changwon-my.sharepoint.com/personal/snuwing_staff_changwon_ac_kr/Documents/docu/"/>
    </mc:Choice>
  </mc:AlternateContent>
  <xr:revisionPtr revIDLastSave="3929" documentId="8_{A8A9E0C3-98A8-7241-A876-856F2F8BAA2C}" xr6:coauthVersionLast="47" xr6:coauthVersionMax="47" xr10:uidLastSave="{EEE1C19E-A60B-304A-B3D2-40CB5F2E7CA8}"/>
  <bookViews>
    <workbookView xWindow="-108" yWindow="-108" windowWidth="23256" windowHeight="12456" activeTab="12" xr2:uid="{80932020-DDC5-2340-B3C6-9A72938ADFEC}"/>
  </bookViews>
  <sheets>
    <sheet name="예비비" sheetId="1" r:id="rId1"/>
    <sheet name="잔액" sheetId="15" r:id="rId2"/>
    <sheet name="상환비" sheetId="2" r:id="rId3"/>
    <sheet name="이사비" sheetId="11" r:id="rId4"/>
    <sheet name="1월" sheetId="3" r:id="rId5"/>
    <sheet name="2월" sheetId="4" r:id="rId6"/>
    <sheet name="3월" sheetId="5" r:id="rId7"/>
    <sheet name="4월" sheetId="7" r:id="rId8"/>
    <sheet name="5월" sheetId="9" r:id="rId9"/>
    <sheet name="6월" sheetId="10" r:id="rId10"/>
    <sheet name="7월" sheetId="12" r:id="rId11"/>
    <sheet name="8월" sheetId="13" r:id="rId12"/>
    <sheet name="9월" sheetId="14" r:id="rId13"/>
  </sheets>
  <externalReferences>
    <externalReference r:id="rId14"/>
  </externalReferences>
  <definedNames>
    <definedName name="_xlnm._FilterDatabase" localSheetId="4" hidden="1">'1월'!$A$3:$I$27</definedName>
    <definedName name="_xlnm._FilterDatabase" localSheetId="5" hidden="1">'2월'!$A$3:$I$27</definedName>
    <definedName name="_xlnm._FilterDatabase" localSheetId="6" hidden="1">'3월'!$A$3:$I$27</definedName>
    <definedName name="_xlnm._FilterDatabase" localSheetId="7" hidden="1">'4월'!$A$3:$I$27</definedName>
    <definedName name="_xlnm._FilterDatabase" localSheetId="8" hidden="1">'5월'!$A$3:$I$27</definedName>
    <definedName name="_xlnm._FilterDatabase" localSheetId="9" hidden="1">'6월'!$A$3:$I$27</definedName>
    <definedName name="_xlnm._FilterDatabase" localSheetId="10" hidden="1">'7월'!$A$3:$I$27</definedName>
    <definedName name="_xlnm._FilterDatabase" localSheetId="11" hidden="1">'8월'!$A$3:$I$27</definedName>
    <definedName name="_xlnm._FilterDatabase" localSheetId="12" hidden="1">'9월'!$A$3:$I$27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4" l="1"/>
  <c r="G15" i="14"/>
  <c r="B9" i="14"/>
  <c r="H4" i="14"/>
  <c r="H5" i="14"/>
  <c r="P18" i="14" l="1"/>
  <c r="X8" i="15" l="1"/>
  <c r="Y8" i="15"/>
  <c r="C13" i="15"/>
  <c r="H4" i="15" s="1"/>
  <c r="H13" i="15" s="1"/>
  <c r="C25" i="15"/>
  <c r="H16" i="15" s="1"/>
  <c r="H25" i="15" s="1"/>
  <c r="M16" i="15" s="1"/>
  <c r="M25" i="15" s="1"/>
  <c r="R16" i="15" s="1"/>
  <c r="R25" i="15" s="1"/>
  <c r="W16" i="15" s="1"/>
  <c r="W25" i="15" s="1"/>
  <c r="AB16" i="15" s="1"/>
  <c r="AB25" i="15" s="1"/>
  <c r="AG16" i="15" s="1"/>
  <c r="AG25" i="15" s="1"/>
  <c r="AL16" i="15" s="1"/>
  <c r="AL25" i="15" s="1"/>
  <c r="AQ16" i="15" s="1"/>
  <c r="AQ25" i="15" s="1"/>
  <c r="AV16" i="15" s="1"/>
  <c r="AV25" i="15" s="1"/>
  <c r="BA16" i="15" s="1"/>
  <c r="BA25" i="15" s="1"/>
  <c r="C37" i="15"/>
  <c r="H28" i="15" s="1"/>
  <c r="H37" i="15" s="1"/>
  <c r="M28" i="15" s="1"/>
  <c r="M37" i="15" s="1"/>
  <c r="R28" i="15" s="1"/>
  <c r="R37" i="15" s="1"/>
  <c r="W28" i="15" s="1"/>
  <c r="W37" i="15" s="1"/>
  <c r="AB28" i="15" s="1"/>
  <c r="AB37" i="15" s="1"/>
  <c r="AG28" i="15" s="1"/>
  <c r="AG37" i="15" s="1"/>
  <c r="AL28" i="15" s="1"/>
  <c r="AL37" i="15" s="1"/>
  <c r="AQ28" i="15" s="1"/>
  <c r="AQ37" i="15" s="1"/>
  <c r="AV28" i="15" s="1"/>
  <c r="AV37" i="15" s="1"/>
  <c r="BA28" i="15" s="1"/>
  <c r="BA37" i="15" s="1"/>
  <c r="N40" i="15"/>
  <c r="C49" i="15"/>
  <c r="H40" i="15" s="1"/>
  <c r="H49" i="15" s="1"/>
  <c r="M40" i="15" s="1"/>
  <c r="C61" i="15"/>
  <c r="H52" i="15" s="1"/>
  <c r="H61" i="15" s="1"/>
  <c r="M52" i="15" s="1"/>
  <c r="M61" i="15" s="1"/>
  <c r="R52" i="15" s="1"/>
  <c r="R61" i="15" s="1"/>
  <c r="W52" i="15" s="1"/>
  <c r="W61" i="15" s="1"/>
  <c r="AB52" i="15" s="1"/>
  <c r="AB61" i="15" s="1"/>
  <c r="AG52" i="15" s="1"/>
  <c r="AG61" i="15" s="1"/>
  <c r="AL52" i="15" s="1"/>
  <c r="AL61" i="15" s="1"/>
  <c r="AQ52" i="15" s="1"/>
  <c r="AQ61" i="15" s="1"/>
  <c r="AV52" i="15" s="1"/>
  <c r="AV61" i="15" s="1"/>
  <c r="BA52" i="15" s="1"/>
  <c r="BA61" i="15" s="1"/>
  <c r="C73" i="15"/>
  <c r="H64" i="15" s="1"/>
  <c r="H73" i="15" s="1"/>
  <c r="M64" i="15" s="1"/>
  <c r="M73" i="15" s="1"/>
  <c r="R64" i="15" s="1"/>
  <c r="R73" i="15" s="1"/>
  <c r="W64" i="15" s="1"/>
  <c r="W73" i="15" s="1"/>
  <c r="AB64" i="15" s="1"/>
  <c r="AB73" i="15" s="1"/>
  <c r="AG64" i="15" s="1"/>
  <c r="AG73" i="15" s="1"/>
  <c r="AL64" i="15" s="1"/>
  <c r="AL73" i="15" s="1"/>
  <c r="AQ64" i="15" s="1"/>
  <c r="AQ73" i="15" s="1"/>
  <c r="AV64" i="15" s="1"/>
  <c r="AV73" i="15" s="1"/>
  <c r="BA64" i="15" s="1"/>
  <c r="BA73" i="15" s="1"/>
  <c r="C85" i="15"/>
  <c r="H76" i="15" s="1"/>
  <c r="H85" i="15" s="1"/>
  <c r="M76" i="15" s="1"/>
  <c r="M85" i="15" s="1"/>
  <c r="R76" i="15" s="1"/>
  <c r="R85" i="15" s="1"/>
  <c r="W76" i="15" s="1"/>
  <c r="W85" i="15" s="1"/>
  <c r="AB76" i="15" s="1"/>
  <c r="AB85" i="15" s="1"/>
  <c r="AG76" i="15" s="1"/>
  <c r="AG85" i="15" s="1"/>
  <c r="AL76" i="15" s="1"/>
  <c r="AL85" i="15" s="1"/>
  <c r="AQ76" i="15" s="1"/>
  <c r="AQ85" i="15" s="1"/>
  <c r="AV76" i="15" s="1"/>
  <c r="AV85" i="15" s="1"/>
  <c r="BA76" i="15" s="1"/>
  <c r="BA85" i="15" s="1"/>
  <c r="S88" i="15"/>
  <c r="T88" i="15"/>
  <c r="W90" i="15"/>
  <c r="C97" i="15"/>
  <c r="H88" i="15" s="1"/>
  <c r="H97" i="15" s="1"/>
  <c r="M88" i="15" s="1"/>
  <c r="M97" i="15" s="1"/>
  <c r="R88" i="15" s="1"/>
  <c r="J104" i="15"/>
  <c r="W104" i="15"/>
  <c r="Y104" i="15"/>
  <c r="C109" i="15"/>
  <c r="H100" i="15" s="1"/>
  <c r="E117" i="15"/>
  <c r="H102" i="15" s="1"/>
  <c r="F47" i="14"/>
  <c r="T48" i="14"/>
  <c r="K37" i="14" s="1"/>
  <c r="U46" i="14"/>
  <c r="U45" i="14"/>
  <c r="T48" i="13"/>
  <c r="T55" i="14"/>
  <c r="J37" i="14" s="1"/>
  <c r="T54" i="14"/>
  <c r="J36" i="14" s="1"/>
  <c r="U51" i="14"/>
  <c r="C42" i="14"/>
  <c r="Q41" i="14"/>
  <c r="T40" i="14"/>
  <c r="I37" i="14" s="1"/>
  <c r="U39" i="14"/>
  <c r="U38" i="14"/>
  <c r="L37" i="14"/>
  <c r="G37" i="14"/>
  <c r="F37" i="14"/>
  <c r="E37" i="14"/>
  <c r="L36" i="14"/>
  <c r="E36" i="14"/>
  <c r="A35" i="14"/>
  <c r="U34" i="14"/>
  <c r="F36" i="14" s="1"/>
  <c r="P33" i="14"/>
  <c r="H37" i="14" s="1"/>
  <c r="Q32" i="14"/>
  <c r="H32" i="14"/>
  <c r="G32" i="14"/>
  <c r="F32" i="14"/>
  <c r="E32" i="14"/>
  <c r="Q31" i="14"/>
  <c r="H31" i="14"/>
  <c r="G31" i="14"/>
  <c r="F31" i="14"/>
  <c r="E31" i="14"/>
  <c r="U30" i="14"/>
  <c r="G36" i="14" s="1"/>
  <c r="Q30" i="14"/>
  <c r="H30" i="14"/>
  <c r="G30" i="14"/>
  <c r="F30" i="14"/>
  <c r="E30" i="14"/>
  <c r="I25" i="14"/>
  <c r="R24" i="14"/>
  <c r="S24" i="14" s="1"/>
  <c r="I24" i="14"/>
  <c r="R23" i="14"/>
  <c r="S23" i="14" s="1"/>
  <c r="R22" i="14"/>
  <c r="S22" i="14" s="1"/>
  <c r="R21" i="14"/>
  <c r="S21" i="14" s="1"/>
  <c r="R20" i="14"/>
  <c r="S20" i="14" s="1"/>
  <c r="I20" i="14"/>
  <c r="R19" i="14"/>
  <c r="S19" i="14" s="1"/>
  <c r="I19" i="14"/>
  <c r="R18" i="14"/>
  <c r="S18" i="14" s="1"/>
  <c r="R17" i="14"/>
  <c r="S17" i="14" s="1"/>
  <c r="R16" i="14"/>
  <c r="S16" i="14" s="1"/>
  <c r="R15" i="14"/>
  <c r="S15" i="14" s="1"/>
  <c r="I15" i="14"/>
  <c r="R14" i="14"/>
  <c r="S14" i="14" s="1"/>
  <c r="I14" i="14"/>
  <c r="R13" i="14"/>
  <c r="S13" i="14" s="1"/>
  <c r="R12" i="14"/>
  <c r="S12" i="14" s="1"/>
  <c r="R11" i="14"/>
  <c r="S11" i="14" s="1"/>
  <c r="R10" i="14"/>
  <c r="S10" i="14" s="1"/>
  <c r="I10" i="14"/>
  <c r="R9" i="14"/>
  <c r="S9" i="14" s="1"/>
  <c r="I9" i="14"/>
  <c r="R8" i="14"/>
  <c r="S8" i="14" s="1"/>
  <c r="R7" i="14"/>
  <c r="S7" i="14" s="1"/>
  <c r="H7" i="14"/>
  <c r="H12" i="14" s="1"/>
  <c r="H17" i="14" s="1"/>
  <c r="H22" i="14" s="1"/>
  <c r="H27" i="14" s="1"/>
  <c r="C37" i="14" s="1"/>
  <c r="R6" i="14"/>
  <c r="S6" i="14" s="1"/>
  <c r="R5" i="14"/>
  <c r="S5" i="14" s="1"/>
  <c r="D32" i="14"/>
  <c r="D33" i="14" s="1"/>
  <c r="R4" i="14"/>
  <c r="D30" i="14"/>
  <c r="U40" i="14" l="1"/>
  <c r="I36" i="14" s="1"/>
  <c r="M49" i="15"/>
  <c r="R40" i="15" s="1"/>
  <c r="R49" i="15" s="1"/>
  <c r="W40" i="15" s="1"/>
  <c r="W49" i="15" s="1"/>
  <c r="AB40" i="15" s="1"/>
  <c r="AB49" i="15" s="1"/>
  <c r="AG40" i="15" s="1"/>
  <c r="AG49" i="15" s="1"/>
  <c r="AL40" i="15" s="1"/>
  <c r="AL49" i="15" s="1"/>
  <c r="AQ40" i="15" s="1"/>
  <c r="AQ49" i="15" s="1"/>
  <c r="AV40" i="15" s="1"/>
  <c r="AV49" i="15" s="1"/>
  <c r="BA40" i="15" s="1"/>
  <c r="BA49" i="15" s="1"/>
  <c r="U48" i="14"/>
  <c r="K36" i="14" s="1"/>
  <c r="R97" i="15"/>
  <c r="W88" i="15" s="1"/>
  <c r="W97" i="15" s="1"/>
  <c r="AB88" i="15" s="1"/>
  <c r="AB97" i="15" s="1"/>
  <c r="M4" i="15"/>
  <c r="M13" i="15" s="1"/>
  <c r="H109" i="15"/>
  <c r="M100" i="15" s="1"/>
  <c r="M109" i="15" s="1"/>
  <c r="R100" i="15" s="1"/>
  <c r="R109" i="15" s="1"/>
  <c r="W100" i="15" s="1"/>
  <c r="W109" i="15" s="1"/>
  <c r="AB100" i="15" s="1"/>
  <c r="AB109" i="15" s="1"/>
  <c r="AG100" i="15" s="1"/>
  <c r="AG109" i="15" s="1"/>
  <c r="C110" i="15"/>
  <c r="I12" i="14"/>
  <c r="Q33" i="14"/>
  <c r="H36" i="14" s="1"/>
  <c r="I17" i="14"/>
  <c r="P25" i="14"/>
  <c r="I22" i="14"/>
  <c r="I27" i="14"/>
  <c r="R25" i="14"/>
  <c r="S25" i="14" s="1"/>
  <c r="D36" i="14" s="1"/>
  <c r="E33" i="14"/>
  <c r="F33" i="14" s="1"/>
  <c r="G33" i="14" s="1"/>
  <c r="H33" i="14" s="1"/>
  <c r="C41" i="14"/>
  <c r="S4" i="14"/>
  <c r="I4" i="14"/>
  <c r="D31" i="14"/>
  <c r="I5" i="14"/>
  <c r="AL100" i="15" l="1"/>
  <c r="AL109" i="15" s="1"/>
  <c r="AQ100" i="15" s="1"/>
  <c r="AQ109" i="15" s="1"/>
  <c r="AV100" i="15" s="1"/>
  <c r="AV109" i="15" s="1"/>
  <c r="BA100" i="15" s="1"/>
  <c r="BA109" i="15" s="1"/>
  <c r="AG88" i="15"/>
  <c r="AG97" i="15" s="1"/>
  <c r="AL88" i="15" s="1"/>
  <c r="AL97" i="15" s="1"/>
  <c r="AQ88" i="15" s="1"/>
  <c r="AQ97" i="15" s="1"/>
  <c r="AV88" i="15" s="1"/>
  <c r="AV97" i="15" s="1"/>
  <c r="BA88" i="15" s="1"/>
  <c r="BA97" i="15" s="1"/>
  <c r="M110" i="15"/>
  <c r="R4" i="15"/>
  <c r="R13" i="15" s="1"/>
  <c r="H110" i="15"/>
  <c r="D37" i="14"/>
  <c r="M37" i="14" s="1"/>
  <c r="D42" i="14" s="1"/>
  <c r="E42" i="14" s="1"/>
  <c r="F42" i="14" s="1"/>
  <c r="G7" i="14"/>
  <c r="G12" i="14" s="1"/>
  <c r="G17" i="14" s="1"/>
  <c r="G22" i="14" s="1"/>
  <c r="G27" i="14" s="1"/>
  <c r="G47" i="14" s="1"/>
  <c r="C36" i="14"/>
  <c r="I7" i="14"/>
  <c r="R110" i="15" l="1"/>
  <c r="W4" i="15"/>
  <c r="W13" i="15" s="1"/>
  <c r="I41" i="14"/>
  <c r="I30" i="14"/>
  <c r="H41" i="14"/>
  <c r="E47" i="14"/>
  <c r="M36" i="14"/>
  <c r="D41" i="14" s="1"/>
  <c r="E41" i="14" s="1"/>
  <c r="F41" i="14" s="1"/>
  <c r="I32" i="14"/>
  <c r="W110" i="15" l="1"/>
  <c r="AB4" i="15"/>
  <c r="AB13" i="15" s="1"/>
  <c r="J41" i="14"/>
  <c r="I34" i="14"/>
  <c r="AG4" i="15" l="1"/>
  <c r="AG13" i="15" s="1"/>
  <c r="AG110" i="15" s="1"/>
  <c r="AB110" i="15"/>
  <c r="T55" i="13"/>
  <c r="T54" i="13"/>
  <c r="U51" i="13"/>
  <c r="P18" i="13"/>
  <c r="AL4" i="15" l="1"/>
  <c r="AL13" i="15" s="1"/>
  <c r="C18" i="11"/>
  <c r="E8" i="11"/>
  <c r="H4" i="13"/>
  <c r="D30" i="13" s="1"/>
  <c r="H5" i="13"/>
  <c r="H7" i="13" s="1"/>
  <c r="H12" i="13" s="1"/>
  <c r="H17" i="13" s="1"/>
  <c r="H22" i="13" s="1"/>
  <c r="H27" i="13" s="1"/>
  <c r="C37" i="13" s="1"/>
  <c r="J37" i="13"/>
  <c r="J36" i="13"/>
  <c r="K37" i="13"/>
  <c r="U46" i="13"/>
  <c r="U45" i="13"/>
  <c r="C42" i="13"/>
  <c r="C41" i="13" s="1"/>
  <c r="Q41" i="13"/>
  <c r="T40" i="13"/>
  <c r="I37" i="13" s="1"/>
  <c r="U39" i="13"/>
  <c r="U38" i="13"/>
  <c r="L37" i="13"/>
  <c r="G37" i="13"/>
  <c r="F37" i="13"/>
  <c r="E37" i="13"/>
  <c r="L36" i="13"/>
  <c r="E36" i="13"/>
  <c r="A35" i="13"/>
  <c r="U34" i="13"/>
  <c r="F36" i="13" s="1"/>
  <c r="P33" i="13"/>
  <c r="H37" i="13" s="1"/>
  <c r="Q32" i="13"/>
  <c r="H32" i="13"/>
  <c r="G32" i="13"/>
  <c r="F32" i="13"/>
  <c r="E32" i="13"/>
  <c r="Q31" i="13"/>
  <c r="H31" i="13"/>
  <c r="G31" i="13"/>
  <c r="F31" i="13"/>
  <c r="E31" i="13"/>
  <c r="U30" i="13"/>
  <c r="G36" i="13" s="1"/>
  <c r="Q30" i="13"/>
  <c r="G30" i="13"/>
  <c r="F30" i="13"/>
  <c r="E30" i="13"/>
  <c r="P25" i="13"/>
  <c r="I25" i="13"/>
  <c r="R24" i="13"/>
  <c r="S24" i="13" s="1"/>
  <c r="I24" i="13"/>
  <c r="H30" i="13"/>
  <c r="R23" i="13"/>
  <c r="S23" i="13" s="1"/>
  <c r="R22" i="13"/>
  <c r="S22" i="13" s="1"/>
  <c r="R21" i="13"/>
  <c r="S21" i="13" s="1"/>
  <c r="R20" i="13"/>
  <c r="S20" i="13" s="1"/>
  <c r="I20" i="13"/>
  <c r="R19" i="13"/>
  <c r="S19" i="13" s="1"/>
  <c r="I19" i="13"/>
  <c r="R18" i="13"/>
  <c r="S18" i="13" s="1"/>
  <c r="R17" i="13"/>
  <c r="S17" i="13" s="1"/>
  <c r="R16" i="13"/>
  <c r="S16" i="13" s="1"/>
  <c r="R15" i="13"/>
  <c r="S15" i="13" s="1"/>
  <c r="I15" i="13"/>
  <c r="R14" i="13"/>
  <c r="S14" i="13" s="1"/>
  <c r="I14" i="13"/>
  <c r="R13" i="13"/>
  <c r="S13" i="13" s="1"/>
  <c r="R12" i="13"/>
  <c r="S12" i="13" s="1"/>
  <c r="R11" i="13"/>
  <c r="S11" i="13" s="1"/>
  <c r="R10" i="13"/>
  <c r="S10" i="13" s="1"/>
  <c r="I10" i="13"/>
  <c r="R9" i="13"/>
  <c r="S9" i="13" s="1"/>
  <c r="I9" i="13"/>
  <c r="R8" i="13"/>
  <c r="S8" i="13" s="1"/>
  <c r="R7" i="13"/>
  <c r="S7" i="13" s="1"/>
  <c r="R6" i="13"/>
  <c r="S6" i="13" s="1"/>
  <c r="R5" i="13"/>
  <c r="S5" i="13" s="1"/>
  <c r="R4" i="13"/>
  <c r="F24" i="12"/>
  <c r="E12" i="11"/>
  <c r="AL110" i="15" l="1"/>
  <c r="AQ4" i="15"/>
  <c r="AQ13" i="15" s="1"/>
  <c r="U48" i="13"/>
  <c r="K36" i="13" s="1"/>
  <c r="I4" i="13"/>
  <c r="C36" i="13" s="1"/>
  <c r="D32" i="13"/>
  <c r="D33" i="13" s="1"/>
  <c r="E33" i="13" s="1"/>
  <c r="F33" i="13" s="1"/>
  <c r="G33" i="13" s="1"/>
  <c r="H33" i="13" s="1"/>
  <c r="D31" i="13"/>
  <c r="I5" i="13"/>
  <c r="I27" i="13"/>
  <c r="Q33" i="13"/>
  <c r="H36" i="13" s="1"/>
  <c r="U40" i="13"/>
  <c r="I36" i="13" s="1"/>
  <c r="I22" i="13"/>
  <c r="I17" i="13"/>
  <c r="I12" i="13"/>
  <c r="R25" i="13"/>
  <c r="S25" i="13" s="1"/>
  <c r="D36" i="13" s="1"/>
  <c r="S4" i="13"/>
  <c r="AV4" i="15" l="1"/>
  <c r="AV13" i="15" s="1"/>
  <c r="AQ110" i="15"/>
  <c r="G7" i="13"/>
  <c r="G12" i="13" s="1"/>
  <c r="G17" i="13" s="1"/>
  <c r="G22" i="13" s="1"/>
  <c r="G27" i="13" s="1"/>
  <c r="I32" i="13" s="1"/>
  <c r="I7" i="13"/>
  <c r="I41" i="13" s="1"/>
  <c r="M36" i="13"/>
  <c r="D41" i="13" s="1"/>
  <c r="E41" i="13" s="1"/>
  <c r="F41" i="13" s="1"/>
  <c r="D37" i="13"/>
  <c r="F47" i="13"/>
  <c r="H41" i="13"/>
  <c r="E47" i="13"/>
  <c r="I30" i="13" l="1"/>
  <c r="I34" i="13" s="1"/>
  <c r="AV110" i="15"/>
  <c r="BA4" i="15"/>
  <c r="BA13" i="15" s="1"/>
  <c r="BA110" i="15" s="1"/>
  <c r="M37" i="13"/>
  <c r="D42" i="13" s="1"/>
  <c r="E42" i="13" s="1"/>
  <c r="F42" i="13" s="1"/>
  <c r="J41" i="13"/>
  <c r="G47" i="13"/>
  <c r="E7" i="11"/>
  <c r="E27" i="11" s="1"/>
  <c r="P25" i="12" l="1"/>
  <c r="R24" i="12"/>
  <c r="S24" i="12" s="1"/>
  <c r="S54" i="12"/>
  <c r="J37" i="12" s="1"/>
  <c r="S53" i="12"/>
  <c r="J36" i="12" s="1"/>
  <c r="T47" i="12"/>
  <c r="U46" i="12"/>
  <c r="U45" i="12"/>
  <c r="C42" i="12"/>
  <c r="C41" i="12" s="1"/>
  <c r="Q41" i="12"/>
  <c r="T40" i="12"/>
  <c r="I37" i="12" s="1"/>
  <c r="U39" i="12"/>
  <c r="U38" i="12"/>
  <c r="L37" i="12"/>
  <c r="K37" i="12"/>
  <c r="G37" i="12"/>
  <c r="F37" i="12"/>
  <c r="E37" i="12"/>
  <c r="L36" i="12"/>
  <c r="K36" i="12"/>
  <c r="E36" i="12"/>
  <c r="A35" i="12"/>
  <c r="U34" i="12"/>
  <c r="F36" i="12" s="1"/>
  <c r="P33" i="12"/>
  <c r="H37" i="12" s="1"/>
  <c r="Q32" i="12"/>
  <c r="H32" i="12"/>
  <c r="G32" i="12"/>
  <c r="F32" i="12"/>
  <c r="E32" i="12"/>
  <c r="Q31" i="12"/>
  <c r="H31" i="12"/>
  <c r="G31" i="12"/>
  <c r="F31" i="12"/>
  <c r="E31" i="12"/>
  <c r="U30" i="12"/>
  <c r="G36" i="12" s="1"/>
  <c r="Q30" i="12"/>
  <c r="H30" i="12"/>
  <c r="G30" i="12"/>
  <c r="F30" i="12"/>
  <c r="I25" i="12"/>
  <c r="I24" i="12"/>
  <c r="R23" i="12"/>
  <c r="S23" i="12" s="1"/>
  <c r="R22" i="12"/>
  <c r="S22" i="12" s="1"/>
  <c r="R21" i="12"/>
  <c r="S21" i="12" s="1"/>
  <c r="R20" i="12"/>
  <c r="S20" i="12" s="1"/>
  <c r="I20" i="12"/>
  <c r="R19" i="12"/>
  <c r="S19" i="12" s="1"/>
  <c r="I19" i="12"/>
  <c r="R18" i="12"/>
  <c r="S18" i="12" s="1"/>
  <c r="R17" i="12"/>
  <c r="S17" i="12" s="1"/>
  <c r="R16" i="12"/>
  <c r="S16" i="12" s="1"/>
  <c r="R15" i="12"/>
  <c r="S15" i="12" s="1"/>
  <c r="I15" i="12"/>
  <c r="R14" i="12"/>
  <c r="S14" i="12" s="1"/>
  <c r="I14" i="12"/>
  <c r="R13" i="12"/>
  <c r="S13" i="12" s="1"/>
  <c r="R12" i="12"/>
  <c r="S12" i="12" s="1"/>
  <c r="R11" i="12"/>
  <c r="S11" i="12" s="1"/>
  <c r="R10" i="12"/>
  <c r="S10" i="12" s="1"/>
  <c r="I10" i="12"/>
  <c r="R9" i="12"/>
  <c r="S9" i="12" s="1"/>
  <c r="R8" i="12"/>
  <c r="S8" i="12" s="1"/>
  <c r="R7" i="12"/>
  <c r="S7" i="12" s="1"/>
  <c r="R6" i="12"/>
  <c r="S6" i="12" s="1"/>
  <c r="R5" i="12"/>
  <c r="S5" i="12" s="1"/>
  <c r="I5" i="12"/>
  <c r="R4" i="12"/>
  <c r="D30" i="12"/>
  <c r="I27" i="12" l="1"/>
  <c r="I22" i="12"/>
  <c r="I17" i="12"/>
  <c r="R25" i="12"/>
  <c r="Q33" i="12"/>
  <c r="H36" i="12" s="1"/>
  <c r="U47" i="12"/>
  <c r="U40" i="12"/>
  <c r="I36" i="12" s="1"/>
  <c r="I4" i="12"/>
  <c r="G7" i="12" s="1"/>
  <c r="G12" i="12" s="1"/>
  <c r="G17" i="12" s="1"/>
  <c r="G22" i="12" s="1"/>
  <c r="G27" i="12" s="1"/>
  <c r="I9" i="12"/>
  <c r="I12" i="12" s="1"/>
  <c r="D32" i="12"/>
  <c r="D33" i="12" s="1"/>
  <c r="E33" i="12" s="1"/>
  <c r="F33" i="12" s="1"/>
  <c r="G33" i="12" s="1"/>
  <c r="H33" i="12" s="1"/>
  <c r="S4" i="12"/>
  <c r="H7" i="12"/>
  <c r="H12" i="12" s="1"/>
  <c r="H17" i="12" s="1"/>
  <c r="H22" i="12" s="1"/>
  <c r="H27" i="12" s="1"/>
  <c r="C37" i="12" s="1"/>
  <c r="D31" i="12"/>
  <c r="E30" i="12"/>
  <c r="I7" i="12" l="1"/>
  <c r="I41" i="12" s="1"/>
  <c r="C36" i="12"/>
  <c r="H41" i="12" s="1"/>
  <c r="D37" i="12"/>
  <c r="M37" i="12" s="1"/>
  <c r="D42" i="12" s="1"/>
  <c r="E42" i="12" s="1"/>
  <c r="F42" i="12" s="1"/>
  <c r="S25" i="12"/>
  <c r="D36" i="12" s="1"/>
  <c r="I32" i="12"/>
  <c r="I30" i="12" l="1"/>
  <c r="I34" i="12" s="1"/>
  <c r="E47" i="12"/>
  <c r="J41" i="12"/>
  <c r="M36" i="12"/>
  <c r="D41" i="12" s="1"/>
  <c r="E41" i="12" s="1"/>
  <c r="F41" i="12" s="1"/>
  <c r="L37" i="10"/>
  <c r="L36" i="10"/>
  <c r="K36" i="9"/>
  <c r="K37" i="10"/>
  <c r="K36" i="10"/>
  <c r="T47" i="10"/>
  <c r="U46" i="10"/>
  <c r="U45" i="10"/>
  <c r="G9" i="10"/>
  <c r="F9" i="10"/>
  <c r="E9" i="10"/>
  <c r="C9" i="10"/>
  <c r="U47" i="10" l="1"/>
  <c r="H5" i="10"/>
  <c r="H4" i="10"/>
  <c r="Q20" i="10" l="1"/>
  <c r="R20" i="10" s="1"/>
  <c r="S20" i="10" s="1"/>
  <c r="S54" i="10"/>
  <c r="J37" i="10" s="1"/>
  <c r="S53" i="10"/>
  <c r="J36" i="10" s="1"/>
  <c r="C42" i="10"/>
  <c r="C41" i="10" s="1"/>
  <c r="Q41" i="10"/>
  <c r="T40" i="10"/>
  <c r="I37" i="10" s="1"/>
  <c r="U39" i="10"/>
  <c r="U38" i="10"/>
  <c r="G37" i="10"/>
  <c r="F37" i="10"/>
  <c r="E37" i="10"/>
  <c r="E36" i="10"/>
  <c r="A35" i="10"/>
  <c r="U34" i="10"/>
  <c r="F36" i="10" s="1"/>
  <c r="P33" i="10"/>
  <c r="H37" i="10" s="1"/>
  <c r="Q32" i="10"/>
  <c r="H32" i="10"/>
  <c r="G32" i="10"/>
  <c r="F32" i="10"/>
  <c r="E32" i="10"/>
  <c r="D32" i="10"/>
  <c r="D33" i="10" s="1"/>
  <c r="Q31" i="10"/>
  <c r="H31" i="10"/>
  <c r="G31" i="10"/>
  <c r="F31" i="10"/>
  <c r="E31" i="10"/>
  <c r="D31" i="10"/>
  <c r="U30" i="10"/>
  <c r="G36" i="10" s="1"/>
  <c r="Q30" i="10"/>
  <c r="H30" i="10"/>
  <c r="G30" i="10"/>
  <c r="F30" i="10"/>
  <c r="E30" i="10"/>
  <c r="D30" i="10"/>
  <c r="I25" i="10"/>
  <c r="P24" i="10"/>
  <c r="I24" i="10"/>
  <c r="R23" i="10"/>
  <c r="S23" i="10" s="1"/>
  <c r="R22" i="10"/>
  <c r="S22" i="10" s="1"/>
  <c r="R21" i="10"/>
  <c r="S21" i="10" s="1"/>
  <c r="I20" i="10"/>
  <c r="R19" i="10"/>
  <c r="S19" i="10" s="1"/>
  <c r="I19" i="10"/>
  <c r="R18" i="10"/>
  <c r="S18" i="10" s="1"/>
  <c r="R17" i="10"/>
  <c r="S17" i="10" s="1"/>
  <c r="R16" i="10"/>
  <c r="S16" i="10" s="1"/>
  <c r="R15" i="10"/>
  <c r="S15" i="10" s="1"/>
  <c r="I15" i="10"/>
  <c r="R14" i="10"/>
  <c r="S14" i="10" s="1"/>
  <c r="I14" i="10"/>
  <c r="R13" i="10"/>
  <c r="S13" i="10" s="1"/>
  <c r="R12" i="10"/>
  <c r="S12" i="10" s="1"/>
  <c r="R11" i="10"/>
  <c r="S11" i="10" s="1"/>
  <c r="R10" i="10"/>
  <c r="S10" i="10" s="1"/>
  <c r="I10" i="10"/>
  <c r="R9" i="10"/>
  <c r="S9" i="10" s="1"/>
  <c r="I9" i="10"/>
  <c r="R8" i="10"/>
  <c r="S8" i="10" s="1"/>
  <c r="R7" i="10"/>
  <c r="S7" i="10" s="1"/>
  <c r="H7" i="10"/>
  <c r="H12" i="10" s="1"/>
  <c r="H17" i="10" s="1"/>
  <c r="H22" i="10" s="1"/>
  <c r="H27" i="10" s="1"/>
  <c r="C37" i="10" s="1"/>
  <c r="R6" i="10"/>
  <c r="S6" i="10" s="1"/>
  <c r="R5" i="10"/>
  <c r="S5" i="10" s="1"/>
  <c r="I5" i="10"/>
  <c r="R4" i="10"/>
  <c r="S4" i="10" s="1"/>
  <c r="I4" i="10"/>
  <c r="H31" i="9"/>
  <c r="H30" i="9"/>
  <c r="I17" i="10" l="1"/>
  <c r="U40" i="10"/>
  <c r="I36" i="10" s="1"/>
  <c r="Q33" i="10"/>
  <c r="H36" i="10" s="1"/>
  <c r="I22" i="10"/>
  <c r="I27" i="10"/>
  <c r="I7" i="10"/>
  <c r="E33" i="10"/>
  <c r="F33" i="10" s="1"/>
  <c r="G33" i="10" s="1"/>
  <c r="H33" i="10" s="1"/>
  <c r="I12" i="10"/>
  <c r="R24" i="10"/>
  <c r="C36" i="10"/>
  <c r="G7" i="10"/>
  <c r="G12" i="10" s="1"/>
  <c r="G17" i="10" s="1"/>
  <c r="G22" i="10" s="1"/>
  <c r="G27" i="10" s="1"/>
  <c r="Q19" i="9"/>
  <c r="G30" i="9"/>
  <c r="J47" i="9"/>
  <c r="G31" i="9" l="1"/>
  <c r="K37" i="9"/>
  <c r="I30" i="10"/>
  <c r="I41" i="10"/>
  <c r="I32" i="10"/>
  <c r="H41" i="10"/>
  <c r="E47" i="10"/>
  <c r="S24" i="10"/>
  <c r="D36" i="10" s="1"/>
  <c r="M36" i="10" s="1"/>
  <c r="D37" i="10"/>
  <c r="C14" i="9"/>
  <c r="C15" i="9"/>
  <c r="M37" i="10" l="1"/>
  <c r="D42" i="10" s="1"/>
  <c r="E42" i="10" s="1"/>
  <c r="F42" i="10" s="1"/>
  <c r="D41" i="10"/>
  <c r="E41" i="10" s="1"/>
  <c r="F41" i="10" s="1"/>
  <c r="I34" i="10"/>
  <c r="J41" i="10"/>
  <c r="S54" i="9"/>
  <c r="J37" i="9" s="1"/>
  <c r="S53" i="9"/>
  <c r="J36" i="9" s="1"/>
  <c r="C42" i="9"/>
  <c r="C41" i="9" s="1"/>
  <c r="Q41" i="9"/>
  <c r="T40" i="9"/>
  <c r="I37" i="9" s="1"/>
  <c r="U39" i="9"/>
  <c r="U38" i="9"/>
  <c r="G37" i="9"/>
  <c r="F37" i="9"/>
  <c r="E37" i="9"/>
  <c r="E36" i="9"/>
  <c r="A35" i="9"/>
  <c r="U34" i="9"/>
  <c r="F36" i="9" s="1"/>
  <c r="P33" i="9"/>
  <c r="H37" i="9" s="1"/>
  <c r="Q32" i="9"/>
  <c r="G32" i="9"/>
  <c r="F32" i="9"/>
  <c r="D32" i="9"/>
  <c r="D33" i="9" s="1"/>
  <c r="Q31" i="9"/>
  <c r="F31" i="9"/>
  <c r="D31" i="9"/>
  <c r="U30" i="9"/>
  <c r="G36" i="9" s="1"/>
  <c r="Q30" i="9"/>
  <c r="F30" i="9"/>
  <c r="E30" i="9"/>
  <c r="D30" i="9"/>
  <c r="P24" i="9"/>
  <c r="I24" i="9"/>
  <c r="R23" i="9"/>
  <c r="S23" i="9" s="1"/>
  <c r="R22" i="9"/>
  <c r="S22" i="9" s="1"/>
  <c r="R21" i="9"/>
  <c r="S21" i="9" s="1"/>
  <c r="R20" i="9"/>
  <c r="S20" i="9" s="1"/>
  <c r="I20" i="9"/>
  <c r="R19" i="9"/>
  <c r="S19" i="9" s="1"/>
  <c r="I19" i="9"/>
  <c r="R18" i="9"/>
  <c r="S18" i="9" s="1"/>
  <c r="R17" i="9"/>
  <c r="S17" i="9" s="1"/>
  <c r="R16" i="9"/>
  <c r="S16" i="9" s="1"/>
  <c r="R15" i="9"/>
  <c r="S15" i="9" s="1"/>
  <c r="I15" i="9"/>
  <c r="R14" i="9"/>
  <c r="S14" i="9" s="1"/>
  <c r="I14" i="9"/>
  <c r="R13" i="9"/>
  <c r="S13" i="9" s="1"/>
  <c r="R12" i="9"/>
  <c r="S12" i="9" s="1"/>
  <c r="R11" i="9"/>
  <c r="S11" i="9" s="1"/>
  <c r="R10" i="9"/>
  <c r="S10" i="9" s="1"/>
  <c r="I10" i="9"/>
  <c r="E32" i="9"/>
  <c r="R9" i="9"/>
  <c r="S9" i="9" s="1"/>
  <c r="I9" i="9"/>
  <c r="R8" i="9"/>
  <c r="S8" i="9" s="1"/>
  <c r="R7" i="9"/>
  <c r="S7" i="9" s="1"/>
  <c r="H7" i="9"/>
  <c r="H12" i="9" s="1"/>
  <c r="H17" i="9" s="1"/>
  <c r="H22" i="9" s="1"/>
  <c r="H27" i="9" s="1"/>
  <c r="C37" i="9" s="1"/>
  <c r="R6" i="9"/>
  <c r="S6" i="9" s="1"/>
  <c r="R5" i="9"/>
  <c r="S5" i="9" s="1"/>
  <c r="I5" i="9"/>
  <c r="R4" i="9"/>
  <c r="I4" i="9"/>
  <c r="E24" i="7"/>
  <c r="E25" i="7"/>
  <c r="K37" i="7"/>
  <c r="K36" i="7"/>
  <c r="U40" i="9" l="1"/>
  <c r="I36" i="9" s="1"/>
  <c r="Q33" i="9"/>
  <c r="H36" i="9" s="1"/>
  <c r="I17" i="9"/>
  <c r="I22" i="9"/>
  <c r="C36" i="9"/>
  <c r="E47" i="9" s="1"/>
  <c r="I12" i="9"/>
  <c r="R24" i="9"/>
  <c r="E33" i="9"/>
  <c r="F33" i="9" s="1"/>
  <c r="G33" i="9" s="1"/>
  <c r="S4" i="9"/>
  <c r="I7" i="9"/>
  <c r="E31" i="9"/>
  <c r="H32" i="9"/>
  <c r="I25" i="9"/>
  <c r="I27" i="9" s="1"/>
  <c r="G7" i="9"/>
  <c r="G12" i="9" s="1"/>
  <c r="G17" i="9" s="1"/>
  <c r="G22" i="9" s="1"/>
  <c r="G27" i="9" s="1"/>
  <c r="S54" i="7"/>
  <c r="S53" i="7"/>
  <c r="H33" i="9" l="1"/>
  <c r="H41" i="9"/>
  <c r="I32" i="9"/>
  <c r="I30" i="9"/>
  <c r="I41" i="9"/>
  <c r="D37" i="9"/>
  <c r="L37" i="9" s="1"/>
  <c r="D42" i="9" s="1"/>
  <c r="E42" i="9" s="1"/>
  <c r="F42" i="9" s="1"/>
  <c r="S24" i="9"/>
  <c r="D36" i="9" s="1"/>
  <c r="L36" i="9" s="1"/>
  <c r="D41" i="9" s="1"/>
  <c r="E41" i="9" s="1"/>
  <c r="F41" i="9" s="1"/>
  <c r="J41" i="9" l="1"/>
  <c r="I34" i="9"/>
  <c r="C42" i="7"/>
  <c r="C41" i="7" s="1"/>
  <c r="Q19" i="7"/>
  <c r="B10" i="7"/>
  <c r="Q20" i="7" l="1"/>
  <c r="R20" i="7" s="1"/>
  <c r="S20" i="7" s="1"/>
  <c r="J37" i="7"/>
  <c r="J36" i="7"/>
  <c r="Q41" i="7"/>
  <c r="T40" i="7"/>
  <c r="I37" i="7" s="1"/>
  <c r="U39" i="7"/>
  <c r="U38" i="7"/>
  <c r="G37" i="7"/>
  <c r="F37" i="7"/>
  <c r="E37" i="7"/>
  <c r="E36" i="7"/>
  <c r="A35" i="7"/>
  <c r="U34" i="7"/>
  <c r="F36" i="7" s="1"/>
  <c r="P33" i="7"/>
  <c r="H37" i="7" s="1"/>
  <c r="Q32" i="7"/>
  <c r="H32" i="7"/>
  <c r="G32" i="7"/>
  <c r="F32" i="7"/>
  <c r="D32" i="7"/>
  <c r="D33" i="7" s="1"/>
  <c r="Q31" i="7"/>
  <c r="H31" i="7"/>
  <c r="G31" i="7"/>
  <c r="F31" i="7"/>
  <c r="D31" i="7"/>
  <c r="U30" i="7"/>
  <c r="G36" i="7" s="1"/>
  <c r="Q30" i="7"/>
  <c r="H30" i="7"/>
  <c r="G30" i="7"/>
  <c r="F30" i="7"/>
  <c r="D30" i="7"/>
  <c r="I25" i="7"/>
  <c r="P24" i="7"/>
  <c r="I24" i="7"/>
  <c r="R23" i="7"/>
  <c r="S23" i="7" s="1"/>
  <c r="R22" i="7"/>
  <c r="S22" i="7" s="1"/>
  <c r="R21" i="7"/>
  <c r="S21" i="7" s="1"/>
  <c r="I20" i="7"/>
  <c r="R19" i="7"/>
  <c r="S19" i="7" s="1"/>
  <c r="I19" i="7"/>
  <c r="R18" i="7"/>
  <c r="S18" i="7" s="1"/>
  <c r="R17" i="7"/>
  <c r="S17" i="7" s="1"/>
  <c r="R16" i="7"/>
  <c r="S16" i="7" s="1"/>
  <c r="R15" i="7"/>
  <c r="S15" i="7" s="1"/>
  <c r="I15" i="7"/>
  <c r="R14" i="7"/>
  <c r="S14" i="7" s="1"/>
  <c r="I14" i="7"/>
  <c r="R13" i="7"/>
  <c r="S13" i="7" s="1"/>
  <c r="R12" i="7"/>
  <c r="S12" i="7" s="1"/>
  <c r="R11" i="7"/>
  <c r="S11" i="7" s="1"/>
  <c r="R10" i="7"/>
  <c r="S10" i="7" s="1"/>
  <c r="I10" i="7"/>
  <c r="E32" i="7"/>
  <c r="R9" i="7"/>
  <c r="S9" i="7" s="1"/>
  <c r="I9" i="7"/>
  <c r="R8" i="7"/>
  <c r="S8" i="7" s="1"/>
  <c r="R7" i="7"/>
  <c r="S7" i="7" s="1"/>
  <c r="H7" i="7"/>
  <c r="H12" i="7" s="1"/>
  <c r="H17" i="7" s="1"/>
  <c r="H22" i="7" s="1"/>
  <c r="H27" i="7" s="1"/>
  <c r="C37" i="7" s="1"/>
  <c r="R6" i="7"/>
  <c r="S6" i="7" s="1"/>
  <c r="R5" i="7"/>
  <c r="S5" i="7" s="1"/>
  <c r="I5" i="7"/>
  <c r="R4" i="7"/>
  <c r="I4" i="7"/>
  <c r="H31" i="5"/>
  <c r="H30" i="5"/>
  <c r="G31" i="5"/>
  <c r="G30" i="5"/>
  <c r="Q41" i="5"/>
  <c r="U40" i="7" l="1"/>
  <c r="I36" i="7" s="1"/>
  <c r="I27" i="7"/>
  <c r="I22" i="7"/>
  <c r="Q33" i="7"/>
  <c r="H36" i="7" s="1"/>
  <c r="I17" i="7"/>
  <c r="C36" i="7"/>
  <c r="E47" i="7" s="1"/>
  <c r="E33" i="7"/>
  <c r="F33" i="7" s="1"/>
  <c r="G33" i="7" s="1"/>
  <c r="H33" i="7" s="1"/>
  <c r="R24" i="7"/>
  <c r="S24" i="7" s="1"/>
  <c r="D36" i="7" s="1"/>
  <c r="I12" i="7"/>
  <c r="E30" i="7"/>
  <c r="E31" i="7"/>
  <c r="S4" i="7"/>
  <c r="I7" i="7"/>
  <c r="G7" i="7"/>
  <c r="G12" i="7" s="1"/>
  <c r="G17" i="7" s="1"/>
  <c r="G22" i="7" s="1"/>
  <c r="G27" i="7" s="1"/>
  <c r="L36" i="7" l="1"/>
  <c r="D41" i="7" s="1"/>
  <c r="H41" i="7"/>
  <c r="D37" i="7"/>
  <c r="L37" i="7" s="1"/>
  <c r="D42" i="7" s="1"/>
  <c r="I32" i="7"/>
  <c r="I30" i="7"/>
  <c r="I41" i="7"/>
  <c r="F31" i="5"/>
  <c r="F30" i="5"/>
  <c r="J41" i="7" l="1"/>
  <c r="E41" i="7"/>
  <c r="F41" i="7" s="1"/>
  <c r="E42" i="7"/>
  <c r="F42" i="7" s="1"/>
  <c r="I34" i="7"/>
  <c r="G10" i="5"/>
  <c r="E10" i="5" l="1"/>
  <c r="C9" i="5"/>
  <c r="E30" i="5" s="1"/>
  <c r="C10" i="5"/>
  <c r="H31" i="4"/>
  <c r="H30" i="4"/>
  <c r="E31" i="5" l="1"/>
  <c r="Q31" i="5"/>
  <c r="Q32" i="5"/>
  <c r="P33" i="5"/>
  <c r="H37" i="5" s="1"/>
  <c r="Q30" i="5"/>
  <c r="O54" i="5"/>
  <c r="J37" i="5" s="1"/>
  <c r="O53" i="5"/>
  <c r="J36" i="5" s="1"/>
  <c r="C48" i="5"/>
  <c r="C42" i="5" s="1"/>
  <c r="C41" i="5" s="1"/>
  <c r="T40" i="5"/>
  <c r="I37" i="5" s="1"/>
  <c r="U39" i="5"/>
  <c r="U38" i="5"/>
  <c r="K37" i="5"/>
  <c r="G37" i="5"/>
  <c r="F37" i="5"/>
  <c r="E37" i="5"/>
  <c r="K36" i="5"/>
  <c r="E36" i="5"/>
  <c r="A35" i="5"/>
  <c r="U34" i="5"/>
  <c r="F36" i="5" s="1"/>
  <c r="H32" i="5"/>
  <c r="G32" i="5"/>
  <c r="F32" i="5"/>
  <c r="E32" i="5"/>
  <c r="D32" i="5"/>
  <c r="D33" i="5" s="1"/>
  <c r="D31" i="5"/>
  <c r="U30" i="5"/>
  <c r="G36" i="5" s="1"/>
  <c r="D30" i="5"/>
  <c r="I25" i="5"/>
  <c r="P24" i="5"/>
  <c r="I24" i="5"/>
  <c r="R23" i="5"/>
  <c r="S23" i="5" s="1"/>
  <c r="R22" i="5"/>
  <c r="S22" i="5" s="1"/>
  <c r="R21" i="5"/>
  <c r="S21" i="5" s="1"/>
  <c r="R20" i="5"/>
  <c r="S20" i="5" s="1"/>
  <c r="I20" i="5"/>
  <c r="R19" i="5"/>
  <c r="S19" i="5" s="1"/>
  <c r="I19" i="5"/>
  <c r="R18" i="5"/>
  <c r="S18" i="5" s="1"/>
  <c r="R17" i="5"/>
  <c r="S17" i="5" s="1"/>
  <c r="R16" i="5"/>
  <c r="S16" i="5" s="1"/>
  <c r="R15" i="5"/>
  <c r="S15" i="5" s="1"/>
  <c r="I15" i="5"/>
  <c r="R14" i="5"/>
  <c r="S14" i="5" s="1"/>
  <c r="I14" i="5"/>
  <c r="R13" i="5"/>
  <c r="S13" i="5" s="1"/>
  <c r="R12" i="5"/>
  <c r="S12" i="5" s="1"/>
  <c r="R11" i="5"/>
  <c r="S11" i="5" s="1"/>
  <c r="R10" i="5"/>
  <c r="S10" i="5" s="1"/>
  <c r="I10" i="5"/>
  <c r="R9" i="5"/>
  <c r="S9" i="5" s="1"/>
  <c r="I9" i="5"/>
  <c r="R8" i="5"/>
  <c r="S8" i="5" s="1"/>
  <c r="R7" i="5"/>
  <c r="S7" i="5" s="1"/>
  <c r="H7" i="5"/>
  <c r="H12" i="5" s="1"/>
  <c r="H17" i="5" s="1"/>
  <c r="H22" i="5" s="1"/>
  <c r="H27" i="5" s="1"/>
  <c r="C37" i="5" s="1"/>
  <c r="R6" i="5"/>
  <c r="S6" i="5" s="1"/>
  <c r="R5" i="5"/>
  <c r="S5" i="5" s="1"/>
  <c r="I5" i="5"/>
  <c r="R4" i="5"/>
  <c r="S4" i="5" s="1"/>
  <c r="I4" i="5"/>
  <c r="U40" i="5" l="1"/>
  <c r="I36" i="5" s="1"/>
  <c r="I27" i="5"/>
  <c r="I22" i="5"/>
  <c r="I17" i="5"/>
  <c r="I12" i="5"/>
  <c r="E33" i="5"/>
  <c r="F33" i="5" s="1"/>
  <c r="G33" i="5" s="1"/>
  <c r="H33" i="5" s="1"/>
  <c r="Q33" i="5"/>
  <c r="H36" i="5" s="1"/>
  <c r="I7" i="5"/>
  <c r="C36" i="5"/>
  <c r="R24" i="5"/>
  <c r="G7" i="5"/>
  <c r="G12" i="5" s="1"/>
  <c r="G17" i="5" s="1"/>
  <c r="G22" i="5" s="1"/>
  <c r="G27" i="5" s="1"/>
  <c r="I41" i="5" l="1"/>
  <c r="I30" i="5"/>
  <c r="H41" i="5"/>
  <c r="E47" i="5"/>
  <c r="I32" i="5"/>
  <c r="D37" i="5"/>
  <c r="L37" i="5" s="1"/>
  <c r="D42" i="5" s="1"/>
  <c r="E42" i="5" s="1"/>
  <c r="F42" i="5" s="1"/>
  <c r="S24" i="5"/>
  <c r="D36" i="5" s="1"/>
  <c r="L36" i="5" s="1"/>
  <c r="D41" i="5" s="1"/>
  <c r="E41" i="5" s="1"/>
  <c r="F41" i="5" s="1"/>
  <c r="J41" i="5" l="1"/>
  <c r="I34" i="5"/>
  <c r="G32" i="4"/>
  <c r="F32" i="4"/>
  <c r="E32" i="4"/>
  <c r="F31" i="4"/>
  <c r="F30" i="4"/>
  <c r="E30" i="4"/>
  <c r="E31" i="4"/>
  <c r="J37" i="3" l="1"/>
  <c r="Q46" i="3"/>
  <c r="D31" i="4"/>
  <c r="D30" i="4"/>
  <c r="O54" i="4"/>
  <c r="I37" i="4" s="1"/>
  <c r="O53" i="4"/>
  <c r="I36" i="4" s="1"/>
  <c r="C48" i="4"/>
  <c r="C42" i="4" s="1"/>
  <c r="C41" i="4" s="1"/>
  <c r="J36" i="4"/>
  <c r="P40" i="4"/>
  <c r="H37" i="4" s="1"/>
  <c r="Q39" i="4"/>
  <c r="Q38" i="4"/>
  <c r="J37" i="4"/>
  <c r="G37" i="4"/>
  <c r="F37" i="4"/>
  <c r="E37" i="4"/>
  <c r="E36" i="4"/>
  <c r="A35" i="4"/>
  <c r="Q34" i="4"/>
  <c r="F36" i="4" s="1"/>
  <c r="H32" i="4"/>
  <c r="D32" i="4"/>
  <c r="D33" i="4" s="1"/>
  <c r="G31" i="4"/>
  <c r="Q30" i="4"/>
  <c r="G36" i="4" s="1"/>
  <c r="G30" i="4"/>
  <c r="I25" i="4"/>
  <c r="P24" i="4"/>
  <c r="I24" i="4"/>
  <c r="R23" i="4"/>
  <c r="S23" i="4" s="1"/>
  <c r="R22" i="4"/>
  <c r="S22" i="4" s="1"/>
  <c r="R21" i="4"/>
  <c r="S21" i="4" s="1"/>
  <c r="R20" i="4"/>
  <c r="S20" i="4" s="1"/>
  <c r="I20" i="4"/>
  <c r="R19" i="4"/>
  <c r="S19" i="4" s="1"/>
  <c r="I19" i="4"/>
  <c r="R18" i="4"/>
  <c r="S18" i="4" s="1"/>
  <c r="R17" i="4"/>
  <c r="S17" i="4" s="1"/>
  <c r="R16" i="4"/>
  <c r="S16" i="4" s="1"/>
  <c r="R15" i="4"/>
  <c r="S15" i="4" s="1"/>
  <c r="I15" i="4"/>
  <c r="R14" i="4"/>
  <c r="S14" i="4" s="1"/>
  <c r="I14" i="4"/>
  <c r="R13" i="4"/>
  <c r="S13" i="4" s="1"/>
  <c r="R12" i="4"/>
  <c r="S12" i="4" s="1"/>
  <c r="R11" i="4"/>
  <c r="S11" i="4" s="1"/>
  <c r="R10" i="4"/>
  <c r="S10" i="4" s="1"/>
  <c r="I10" i="4"/>
  <c r="R9" i="4"/>
  <c r="S9" i="4" s="1"/>
  <c r="I9" i="4"/>
  <c r="R8" i="4"/>
  <c r="S8" i="4" s="1"/>
  <c r="R7" i="4"/>
  <c r="S7" i="4" s="1"/>
  <c r="H7" i="4"/>
  <c r="H12" i="4" s="1"/>
  <c r="H17" i="4" s="1"/>
  <c r="H22" i="4" s="1"/>
  <c r="H27" i="4" s="1"/>
  <c r="C37" i="4" s="1"/>
  <c r="R6" i="4"/>
  <c r="S6" i="4" s="1"/>
  <c r="R5" i="4"/>
  <c r="S5" i="4" s="1"/>
  <c r="I5" i="4"/>
  <c r="R4" i="4"/>
  <c r="I4" i="4"/>
  <c r="Q40" i="4" l="1"/>
  <c r="H36" i="4" s="1"/>
  <c r="I27" i="4"/>
  <c r="I22" i="4"/>
  <c r="E33" i="4"/>
  <c r="F33" i="4" s="1"/>
  <c r="G33" i="4" s="1"/>
  <c r="H33" i="4" s="1"/>
  <c r="C36" i="4"/>
  <c r="H41" i="4" s="1"/>
  <c r="I12" i="4"/>
  <c r="R24" i="4"/>
  <c r="S24" i="4" s="1"/>
  <c r="D36" i="4" s="1"/>
  <c r="G7" i="4"/>
  <c r="G12" i="4" s="1"/>
  <c r="G17" i="4" s="1"/>
  <c r="G22" i="4" s="1"/>
  <c r="G27" i="4" s="1"/>
  <c r="I7" i="4"/>
  <c r="I17" i="4"/>
  <c r="S4" i="4"/>
  <c r="L46" i="3"/>
  <c r="M46" i="3"/>
  <c r="N46" i="3"/>
  <c r="O46" i="3"/>
  <c r="P46" i="3"/>
  <c r="K46" i="3"/>
  <c r="J46" i="3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4" i="3"/>
  <c r="S4" i="3" s="1"/>
  <c r="J36" i="3" l="1"/>
  <c r="I41" i="4"/>
  <c r="J41" i="4" s="1"/>
  <c r="E47" i="4"/>
  <c r="I30" i="4"/>
  <c r="D37" i="4"/>
  <c r="K37" i="4" s="1"/>
  <c r="D42" i="4" s="1"/>
  <c r="E42" i="4" s="1"/>
  <c r="F42" i="4" s="1"/>
  <c r="K36" i="4"/>
  <c r="D41" i="4" s="1"/>
  <c r="E41" i="4" s="1"/>
  <c r="F41" i="4" s="1"/>
  <c r="I32" i="4"/>
  <c r="R24" i="3"/>
  <c r="I34" i="4" l="1"/>
  <c r="S24" i="3"/>
  <c r="D36" i="3" s="1"/>
  <c r="D37" i="3"/>
  <c r="D26" i="1" l="1"/>
  <c r="O29" i="1"/>
  <c r="I4" i="3" l="1"/>
  <c r="I5" i="3"/>
  <c r="H7" i="3"/>
  <c r="H12" i="3" s="1"/>
  <c r="H17" i="3" s="1"/>
  <c r="H22" i="3" s="1"/>
  <c r="H27" i="3" s="1"/>
  <c r="I9" i="3"/>
  <c r="I10" i="3"/>
  <c r="I14" i="3"/>
  <c r="I15" i="3"/>
  <c r="I19" i="3"/>
  <c r="I20" i="3"/>
  <c r="I24" i="3"/>
  <c r="P24" i="3"/>
  <c r="I25" i="3"/>
  <c r="D30" i="3"/>
  <c r="E30" i="3"/>
  <c r="F30" i="3"/>
  <c r="G30" i="3"/>
  <c r="H30" i="3"/>
  <c r="Q30" i="3"/>
  <c r="G36" i="3" s="1"/>
  <c r="D31" i="3"/>
  <c r="E31" i="3"/>
  <c r="F31" i="3"/>
  <c r="G31" i="3"/>
  <c r="H31" i="3"/>
  <c r="D32" i="3"/>
  <c r="D33" i="3" s="1"/>
  <c r="E32" i="3"/>
  <c r="F32" i="3"/>
  <c r="G32" i="3"/>
  <c r="H32" i="3"/>
  <c r="Q34" i="3"/>
  <c r="F36" i="3" s="1"/>
  <c r="A35" i="3"/>
  <c r="E36" i="3"/>
  <c r="E37" i="3"/>
  <c r="F37" i="3"/>
  <c r="G37" i="3"/>
  <c r="Q38" i="3"/>
  <c r="Q39" i="3"/>
  <c r="P40" i="3"/>
  <c r="H37" i="3" s="1"/>
  <c r="C48" i="3"/>
  <c r="C42" i="3" s="1"/>
  <c r="C41" i="3" s="1"/>
  <c r="O53" i="3"/>
  <c r="I36" i="3" s="1"/>
  <c r="O54" i="3"/>
  <c r="I37" i="3" s="1"/>
  <c r="O2" i="2"/>
  <c r="O6" i="2" s="1"/>
  <c r="O10" i="2" s="1"/>
  <c r="O14" i="2" s="1"/>
  <c r="O3" i="2"/>
  <c r="O7" i="2" s="1"/>
  <c r="O11" i="2" s="1"/>
  <c r="O15" i="2" s="1"/>
  <c r="O4" i="2"/>
  <c r="O8" i="2" s="1"/>
  <c r="O12" i="2" s="1"/>
  <c r="O16" i="2" s="1"/>
  <c r="M5" i="1"/>
  <c r="S8" i="1"/>
  <c r="C30" i="1"/>
  <c r="D30" i="1"/>
  <c r="D32" i="1" s="1"/>
  <c r="E30" i="1"/>
  <c r="E32" i="1" s="1"/>
  <c r="F30" i="1"/>
  <c r="F32" i="1" s="1"/>
  <c r="G30" i="1"/>
  <c r="G32" i="1" s="1"/>
  <c r="H30" i="1"/>
  <c r="H32" i="1" s="1"/>
  <c r="I30" i="1"/>
  <c r="I32" i="1" s="1"/>
  <c r="J30" i="1"/>
  <c r="J32" i="1" s="1"/>
  <c r="K30" i="1"/>
  <c r="K32" i="1" s="1"/>
  <c r="L30" i="1"/>
  <c r="L32" i="1" s="1"/>
  <c r="M30" i="1"/>
  <c r="M32" i="1" s="1"/>
  <c r="N30" i="1"/>
  <c r="N32" i="1" s="1"/>
  <c r="O30" i="1"/>
  <c r="O32" i="1" s="1"/>
  <c r="C37" i="1"/>
  <c r="I7" i="3" l="1"/>
  <c r="G7" i="3"/>
  <c r="G12" i="3" s="1"/>
  <c r="G17" i="3" s="1"/>
  <c r="G22" i="3" s="1"/>
  <c r="G27" i="3" s="1"/>
  <c r="I32" i="3" s="1"/>
  <c r="C36" i="3"/>
  <c r="E33" i="3"/>
  <c r="F33" i="3" s="1"/>
  <c r="G33" i="3" s="1"/>
  <c r="H33" i="3" s="1"/>
  <c r="Q40" i="3"/>
  <c r="H36" i="3" s="1"/>
  <c r="I27" i="3"/>
  <c r="C39" i="1"/>
  <c r="C41" i="1" s="1"/>
  <c r="I22" i="3"/>
  <c r="I17" i="3"/>
  <c r="I12" i="3"/>
  <c r="C37" i="3"/>
  <c r="K36" i="3" l="1"/>
  <c r="D41" i="3" s="1"/>
  <c r="E41" i="3" s="1"/>
  <c r="F41" i="3" s="1"/>
  <c r="I41" i="3"/>
  <c r="E47" i="3"/>
  <c r="I30" i="3"/>
  <c r="I34" i="3" s="1"/>
  <c r="H41" i="3"/>
  <c r="K37" i="3"/>
  <c r="D42" i="3" s="1"/>
  <c r="E42" i="3" s="1"/>
  <c r="F42" i="3" s="1"/>
  <c r="J41" i="3" l="1"/>
  <c r="G47" i="10" l="1"/>
  <c r="F47" i="10"/>
  <c r="F47" i="12"/>
  <c r="G47" i="12"/>
  <c r="F47" i="5" l="1"/>
  <c r="G47" i="5"/>
  <c r="F47" i="4"/>
  <c r="G47" i="4"/>
  <c r="F47" i="3"/>
  <c r="G47" i="3"/>
  <c r="G47" i="7"/>
  <c r="F47" i="7"/>
  <c r="F47" i="9"/>
  <c r="G4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tc={C9105AB8-35FE-6D41-8DEF-ABC2241D6D9F}</author>
  </authors>
  <commentList>
    <comment ref="C35" authorId="0" shapeId="0" xr:uid="{C9105AB8-35FE-6D41-8DEF-ABC2241D6D9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명절상여 60 중 40 (예비),20(상환)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tc={645B3BC5-73E8-8D4B-89F8-54AE16476892}</author>
    <author>tc={6898A1B3-EEB2-914D-B591-87F088909F03}</author>
    <author>tc={3D38CD8F-4C87-604C-A2C5-7AAAB2D3404F}</author>
    <author>tc={D93B6A8E-3A21-4C43-9BE1-3B32862FAA8C}</author>
    <author>tc={BBCC7998-88E9-D541-BACE-BEEE7853BA1C}</author>
    <author>tc={DF5EA779-C0EC-3541-BD3E-6E5973CE741A}</author>
    <author>tc={5492C6B2-5FC0-BF46-9ED1-FDD803C9DC87}</author>
  </authors>
  <commentList>
    <comment ref="AH3" authorId="0" shapeId="0" xr:uid="{645B3BC5-73E8-8D4B-89F8-54AE1647689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기존 보증보험료 일할계산</t>
      </text>
    </comment>
    <comment ref="AG7" authorId="1" shapeId="0" xr:uid="{6898A1B3-EEB2-914D-B591-87F088909F0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축의금 항목 누락으로 인한 이전</t>
      </text>
    </comment>
    <comment ref="AH7" authorId="2" shapeId="0" xr:uid="{3D38CD8F-4C87-604C-A2C5-7AAAB2D3404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카드대금 제외 주식, 희망두배, 주택청약, 약속정산</t>
      </text>
    </comment>
    <comment ref="AG11" authorId="3" shapeId="0" xr:uid="{D93B6A8E-3A21-4C43-9BE1-3B32862FAA8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8월 K패스원금 부족분 지출</t>
      </text>
    </comment>
    <comment ref="AG53" authorId="4" shapeId="0" xr:uid="{BBCC7998-88E9-D541-BACE-BEEE7853BA1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봉서 10만원</t>
      </text>
    </comment>
    <comment ref="AG58" authorId="5" shapeId="0" xr:uid="{DF5EA779-C0EC-3541-BD3E-6E5973CE741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아빠, 봉서</t>
      </text>
    </comment>
    <comment ref="AG103" authorId="6" shapeId="0" xr:uid="{5492C6B2-5FC0-BF46-9ED1-FDD803C9DC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미래에셋 점검으로 인한 카드값 가계부에서 먼저 지출완료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tc={7818EA0E-7E09-2649-865F-D1B08B0A76F8}</author>
  </authors>
  <commentList>
    <comment ref="P30" authorId="0" shapeId="0" xr:uid="{7818EA0E-7E09-2649-865F-D1B08B0A76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12월돈으로 미리 입금, 1월 여행비만 입금함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tc={46AA4112-CE60-B547-9331-727590671BE1}</author>
    <author>tc={25C5F257-95CD-014E-8BDB-4AD85DE0C375}</author>
    <author>tc={4E1CC0E8-DF24-994A-B2A3-2BC5E4D15276}</author>
    <author>tc={E4EF9726-5835-3248-AFAA-833F5A6BA1DD}</author>
  </authors>
  <commentList>
    <comment ref="F29" authorId="0" shapeId="0" xr:uid="{46AA4112-CE60-B547-9331-727590671B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마라탕 환급 적용</t>
      </text>
    </comment>
    <comment ref="G29" authorId="1" shapeId="0" xr:uid="{25C5F257-95CD-014E-8BDB-4AD85DE0C3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보험비 환급 적용</t>
      </text>
    </comment>
    <comment ref="H29" authorId="2" shapeId="0" xr:uid="{4E1CC0E8-DF24-994A-B2A3-2BC5E4D1527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진미식당 정산</t>
      </text>
    </comment>
    <comment ref="C34" authorId="3" shapeId="0" xr:uid="{E4EF9726-5835-3248-AFAA-833F5A6BA1D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tc={19896571-5F3D-44E8-84CA-7156986DCA9E}</author>
    <author>tc={EAB4B5E2-3D6E-4B1A-8D4D-480156D60DF8}</author>
    <author>tc={77D1E8A2-817E-404A-BAEF-E829746A2F1E}</author>
    <author>tc={AD53A279-C7F1-4D47-8AE7-4A5CA4D8D204}</author>
    <author>tc={7884AA93-29CC-9A4E-9120-F6D3171547A0}</author>
    <author>tc={BDA8F5B2-8656-FB48-B153-EAB3EF7569DA}</author>
    <author>tc={AB9C107F-03A4-4A97-B824-62CD3F0AA91B}</author>
    <author>tc={C806630E-CF9E-0340-9930-7E04D3957CA2}</author>
    <author>tc={A36121C4-719A-7341-9255-F01E1E5B88F6}</author>
  </authors>
  <commentList>
    <comment ref="Q5" authorId="0" shapeId="0" xr:uid="{19896571-5F3D-44E8-84CA-7156986DCA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LOCA 365 할인</t>
      </text>
    </comment>
    <comment ref="Q6" authorId="1" shapeId="0" xr:uid="{EAB4B5E2-3D6E-4B1A-8D4D-480156D60D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LOCA 365 10%할인</t>
      </text>
    </comment>
    <comment ref="Q7" authorId="2" shapeId="0" xr:uid="{77D1E8A2-817E-404A-BAEF-E829746A2F1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LOCA 365 할인</t>
      </text>
    </comment>
    <comment ref="Q8" authorId="3" shapeId="0" xr:uid="{AD53A279-C7F1-4D47-8AE7-4A5CA4D8D2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LOCA 365 할인</t>
      </text>
    </comment>
    <comment ref="Q10" authorId="4" shapeId="0" xr:uid="{7884AA93-29CC-9A4E-9120-F6D3171547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하나카드 할인</t>
      </text>
    </comment>
    <comment ref="Q12" authorId="5" shapeId="0" xr:uid="{BDA8F5B2-8656-FB48-B153-EAB3EF7569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3월 나사카 할인 놓침 ㅜ 5월 결제금액 미적용예정
답글:
    해당 할인은 2월에 적용</t>
      </text>
    </comment>
    <comment ref="Q19" authorId="6" shapeId="0" xr:uid="{AB9C107F-03A4-4A97-B824-62CD3F0AA9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Toss페이 포인트할인</t>
      </text>
    </comment>
    <comment ref="Q20" authorId="7" shapeId="0" xr:uid="{C806630E-CF9E-0340-9930-7E04D3957C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네이버포인트 1044 + 하나카드할인 1928 (50%)</t>
      </text>
    </comment>
    <comment ref="C34" authorId="8" shapeId="0" xr:uid="{A36121C4-719A-7341-9255-F01E1E5B88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tc={C765BD20-BCA0-7847-BB9E-A6C84CFBBD12}</author>
    <author>tc={D2C5C867-EAC8-E340-9161-0A0E4C8CD6A4}</author>
    <author>tc={03248201-FFDC-3542-98CC-F8D6E58CE787}</author>
    <author>tc={948EA47F-181C-334B-B700-10B64C6CF20D}</author>
    <author>tc={ED5E54FA-B53F-D241-88B3-AF9E0E0370AE}</author>
    <author>tc={54E3CB10-A606-B44C-8161-BB114E56DAA1}</author>
    <author>tc={C0ADBB54-41F3-F040-8FC7-0FC46CE74FA3}</author>
  </authors>
  <commentList>
    <comment ref="Q10" authorId="0" shapeId="0" xr:uid="{C765BD20-BCA0-7847-BB9E-A6C84CFBBD1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하나카드 할인</t>
      </text>
    </comment>
    <comment ref="P12" authorId="1" shapeId="0" xr:uid="{D2C5C867-EAC8-E340-9161-0A0E4C8CD6A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3월 나라사랑 실적x -&gt; 4월 이용 -&gt; 5월 청구시 혜택 미반영
</t>
      </text>
    </comment>
    <comment ref="P18" authorId="2" shapeId="0" xr:uid="{03248201-FFDC-3542-98CC-F8D6E58CE7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1,2,3월 T멤버쉽 쿠폰 사용 끝(이번달부터 할인쿠폰적용)</t>
      </text>
    </comment>
    <comment ref="Q19" authorId="3" shapeId="0" xr:uid="{948EA47F-181C-334B-B700-10B64C6CF2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Toss페이 포인트할인</t>
      </text>
    </comment>
    <comment ref="Q20" authorId="4" shapeId="0" xr:uid="{ED5E54FA-B53F-D241-88B3-AF9E0E0370A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네이버페이포인트 3482+ 하나카드 709 할인</t>
      </text>
    </comment>
    <comment ref="Q21" authorId="5" shapeId="0" xr:uid="{54E3CB10-A606-B44C-8161-BB114E56DA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하나카드 할인</t>
      </text>
    </comment>
    <comment ref="C34" authorId="6" shapeId="0" xr:uid="{C0ADBB54-41F3-F040-8FC7-0FC46CE74F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tc={77F27866-E221-1548-A777-638F35042FBE}</author>
    <author>tc={5AF382D1-1EF4-DA45-A382-6FB0455560E9}</author>
    <author>tc={301A7C27-29C5-3E45-B150-3565991E4DA5}</author>
  </authors>
  <commentList>
    <comment ref="Q20" authorId="0" shapeId="0" xr:uid="{77F27866-E221-1548-A777-638F35042F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하나할인 2446 + 네이버포인트 8</t>
      </text>
    </comment>
    <comment ref="Q21" authorId="1" shapeId="0" xr:uid="{5AF382D1-1EF4-DA45-A382-6FB0455560E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하나카드 할인</t>
      </text>
    </comment>
    <comment ref="C34" authorId="2" shapeId="0" xr:uid="{301A7C27-29C5-3E45-B150-3565991E4DA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tc={2DC4CE39-78E3-5A42-9E5E-1811AEB17AA0}</author>
    <author>tc={2D7A0FE6-4006-654D-926C-B24E6E6A83AF}</author>
    <author>tc={0E26CB16-8E4B-4640-979A-0280FFD12A41}</author>
    <author>tc={7A45DBA8-5B11-8443-9DF5-6AA3ABA75F47}</author>
    <author>tc={97D0736E-13F2-6648-95CF-A9EE162FC3AF}</author>
  </authors>
  <commentList>
    <comment ref="L5" authorId="0" shapeId="0" xr:uid="{2DC4CE39-78E3-5A42-9E5E-1811AEB17A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6,7월 보증금 환불시에 환급완료</t>
      </text>
    </comment>
    <comment ref="L6" authorId="1" shapeId="0" xr:uid="{2D7A0FE6-4006-654D-926C-B24E6E6A83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다음달 서울도시가스 변경</t>
      </text>
    </comment>
    <comment ref="L10" authorId="2" shapeId="0" xr:uid="{0E26CB16-8E4B-4640-979A-0280FFD12A4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다음달 엘지헬로비전 으로 변경</t>
      </text>
    </comment>
    <comment ref="P12" authorId="3" shapeId="0" xr:uid="{7A45DBA8-5B11-8443-9DF5-6AA3ABA75F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기후동행 환급금 30000 제외
답글:
    8월부터는 K패스신한으로 청구(모바일티머니선불 임시사용)</t>
      </text>
    </comment>
    <comment ref="C34" authorId="4" shapeId="0" xr:uid="{97D0736E-13F2-6648-95CF-A9EE162FC3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tc={B5EB7711-7DA4-4543-9B70-20B418543F7F}</author>
    <author>tc={B52CAA44-7A14-4AF2-8C6C-F2E7436D9BBF}</author>
    <author>tc={13093AA3-C2F5-6B4C-858A-EF9F561A89A9}</author>
    <author>tc={68200F8A-7C70-F844-9E82-F6F55F12D177}</author>
  </authors>
  <commentList>
    <comment ref="P10" authorId="0" shapeId="0" xr:uid="{B5EB7711-7DA4-4543-9B70-20B418543F7F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기본 사용료 10838 + 설치 33000 - 기본할인 4360 = 6478 + 33000 (일할계산)
답글:
    요금제명 : 광랜 WIFI+
최대속도 : 다운로드 기준 100Mbps(대칭형)
요금 : 27,610원
약정기간 : 2026-07-24 ~ 2029-07-23(3년 약정)
</t>
      </text>
    </comment>
    <comment ref="P11" authorId="1" shapeId="0" xr:uid="{B52CAA44-7A14-4AF2-8C6C-F2E7436D9BB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7월 K패스 사용 금액중 모바일티머니를 제외한, 신한K패스체크카드 후불 원금(7월), 3 영업일</t>
      </text>
    </comment>
    <comment ref="P20" authorId="2" shapeId="0" xr:uid="{13093AA3-C2F5-6B4C-858A-EF9F561A89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7월 네이버현대카드 실적충족</t>
      </text>
    </comment>
    <comment ref="C34" authorId="3" shapeId="0" xr:uid="{68200F8A-7C70-F844-9E82-F6F55F12D17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tc={4D360F1F-4B42-AA40-9ADC-B35BCA778A80}</author>
  </authors>
  <commentList>
    <comment ref="C34" authorId="0" shapeId="0" xr:uid="{4D360F1F-4B42-AA40-9ADC-B35BCA778A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할인환급황목을 그 주차에 맞는 계산으로 기록할것</t>
      </text>
    </comment>
  </commentList>
</comments>
</file>

<file path=xl/sharedStrings.xml><?xml version="1.0" encoding="utf-8"?>
<sst xmlns="http://schemas.openxmlformats.org/spreadsheetml/2006/main" count="3263" uniqueCount="780">
  <si>
    <t>추가모을돈</t>
    <phoneticPr fontId="4" type="noConversion"/>
  </si>
  <si>
    <t>예비비합계</t>
    <phoneticPr fontId="4" type="noConversion"/>
  </si>
  <si>
    <t>추가소비금액</t>
    <phoneticPr fontId="4" type="noConversion"/>
  </si>
  <si>
    <t>예정소비금액</t>
    <phoneticPr fontId="4" type="noConversion"/>
  </si>
  <si>
    <t>모으기합계</t>
    <phoneticPr fontId="4" type="noConversion"/>
  </si>
  <si>
    <t>모으기</t>
    <phoneticPr fontId="4" type="noConversion"/>
  </si>
  <si>
    <t>상여잔액</t>
    <phoneticPr fontId="4" type="noConversion"/>
  </si>
  <si>
    <t>상여+선물</t>
    <phoneticPr fontId="4" type="noConversion"/>
  </si>
  <si>
    <t>합산-기준</t>
    <phoneticPr fontId="4" type="noConversion"/>
  </si>
  <si>
    <t>기준</t>
    <phoneticPr fontId="4" type="noConversion"/>
  </si>
  <si>
    <t>합산</t>
    <phoneticPr fontId="4" type="noConversion"/>
  </si>
  <si>
    <t>축의금</t>
    <phoneticPr fontId="4" type="noConversion"/>
  </si>
  <si>
    <t>봉서 축의금</t>
    <phoneticPr fontId="4" type="noConversion"/>
  </si>
  <si>
    <t>겨울여행</t>
    <phoneticPr fontId="4" type="noConversion"/>
  </si>
  <si>
    <t>하계휴양</t>
    <phoneticPr fontId="4" type="noConversion"/>
  </si>
  <si>
    <t>해외여행</t>
    <phoneticPr fontId="4" type="noConversion"/>
  </si>
  <si>
    <t>여행</t>
    <phoneticPr fontId="4" type="noConversion"/>
  </si>
  <si>
    <t>추석(24~26)</t>
    <phoneticPr fontId="4" type="noConversion"/>
  </si>
  <si>
    <t>어버이날</t>
    <phoneticPr fontId="4" type="noConversion"/>
  </si>
  <si>
    <t>설날(16~18)</t>
    <phoneticPr fontId="4" type="noConversion"/>
  </si>
  <si>
    <t>명절</t>
    <phoneticPr fontId="4" type="noConversion"/>
  </si>
  <si>
    <t>11월 25일</t>
    <phoneticPr fontId="4" type="noConversion"/>
  </si>
  <si>
    <t>4월 25일</t>
    <phoneticPr fontId="4" type="noConversion"/>
  </si>
  <si>
    <t>의무상환액</t>
    <phoneticPr fontId="4" type="noConversion"/>
  </si>
  <si>
    <t>9월 15일</t>
    <phoneticPr fontId="4" type="noConversion"/>
  </si>
  <si>
    <t>막내</t>
    <phoneticPr fontId="4" type="noConversion"/>
  </si>
  <si>
    <t>1월 23일</t>
    <phoneticPr fontId="4" type="noConversion"/>
  </si>
  <si>
    <t>여동생</t>
    <phoneticPr fontId="4" type="noConversion"/>
  </si>
  <si>
    <t>합계</t>
    <phoneticPr fontId="4" type="noConversion"/>
  </si>
  <si>
    <t>선물</t>
    <phoneticPr fontId="5" type="noConversion"/>
  </si>
  <si>
    <t>일정비</t>
    <phoneticPr fontId="5" type="noConversion"/>
  </si>
  <si>
    <t>11월 20일</t>
    <phoneticPr fontId="4" type="noConversion"/>
  </si>
  <si>
    <t>엄마</t>
    <phoneticPr fontId="4" type="noConversion"/>
  </si>
  <si>
    <t>비행기</t>
    <phoneticPr fontId="5" type="noConversion"/>
  </si>
  <si>
    <t>숙소</t>
    <phoneticPr fontId="5" type="noConversion"/>
  </si>
  <si>
    <t>기준표</t>
    <phoneticPr fontId="4" type="noConversion"/>
  </si>
  <si>
    <t>여행정산</t>
    <phoneticPr fontId="4" type="noConversion"/>
  </si>
  <si>
    <t>10월 9일</t>
    <phoneticPr fontId="4" type="noConversion"/>
  </si>
  <si>
    <t>아빠</t>
    <phoneticPr fontId="4" type="noConversion"/>
  </si>
  <si>
    <t>생일</t>
    <phoneticPr fontId="4" type="noConversion"/>
  </si>
  <si>
    <t>27년 1월</t>
    <phoneticPr fontId="4" type="noConversion"/>
  </si>
  <si>
    <t>12월</t>
    <phoneticPr fontId="4" type="noConversion"/>
  </si>
  <si>
    <t>11월</t>
    <phoneticPr fontId="4" type="noConversion"/>
  </si>
  <si>
    <t>10월</t>
    <phoneticPr fontId="4" type="noConversion"/>
  </si>
  <si>
    <t>9월</t>
    <phoneticPr fontId="4" type="noConversion"/>
  </si>
  <si>
    <t>8월</t>
    <phoneticPr fontId="4" type="noConversion"/>
  </si>
  <si>
    <t>7월</t>
    <phoneticPr fontId="4" type="noConversion"/>
  </si>
  <si>
    <t>6월</t>
    <phoneticPr fontId="4" type="noConversion"/>
  </si>
  <si>
    <t>5월</t>
    <phoneticPr fontId="4" type="noConversion"/>
  </si>
  <si>
    <t>4월</t>
    <phoneticPr fontId="4" type="noConversion"/>
  </si>
  <si>
    <t>3월</t>
    <phoneticPr fontId="4" type="noConversion"/>
  </si>
  <si>
    <t>2월</t>
    <phoneticPr fontId="4" type="noConversion"/>
  </si>
  <si>
    <t>1월</t>
    <phoneticPr fontId="4" type="noConversion"/>
  </si>
  <si>
    <t>25년 12월</t>
    <phoneticPr fontId="4" type="noConversion"/>
  </si>
  <si>
    <t>우리은행</t>
    <phoneticPr fontId="4" type="noConversion"/>
  </si>
  <si>
    <t>마이너스통장</t>
    <phoneticPr fontId="4" type="noConversion"/>
  </si>
  <si>
    <t>생활비</t>
    <phoneticPr fontId="4" type="noConversion"/>
  </si>
  <si>
    <t>카카오뱅크</t>
    <phoneticPr fontId="4" type="noConversion"/>
  </si>
  <si>
    <t>토스뱅크</t>
    <phoneticPr fontId="4" type="noConversion"/>
  </si>
  <si>
    <t>28년 12월</t>
  </si>
  <si>
    <t>28년 11월</t>
  </si>
  <si>
    <t>28년 10월</t>
  </si>
  <si>
    <t>28년 9월</t>
  </si>
  <si>
    <t>28년 8월</t>
  </si>
  <si>
    <t>28년 7월</t>
  </si>
  <si>
    <t>28년 6월</t>
  </si>
  <si>
    <t>28년 5월</t>
  </si>
  <si>
    <t>28년 4월</t>
  </si>
  <si>
    <t>28년 3월</t>
  </si>
  <si>
    <t>28년 2월</t>
  </si>
  <si>
    <t>28년 1월</t>
    <phoneticPr fontId="4" type="noConversion"/>
  </si>
  <si>
    <t>희망두배</t>
    <phoneticPr fontId="4" type="noConversion"/>
  </si>
  <si>
    <t>27년 12월</t>
  </si>
  <si>
    <t>27년 11월</t>
  </si>
  <si>
    <t>27년 10월</t>
  </si>
  <si>
    <t>27년 9월</t>
  </si>
  <si>
    <t>27년 8월</t>
  </si>
  <si>
    <t>27년 7월</t>
  </si>
  <si>
    <t>27년 6월</t>
  </si>
  <si>
    <t>27년 5월</t>
  </si>
  <si>
    <t>27년 4월</t>
  </si>
  <si>
    <t>27년 3월</t>
  </si>
  <si>
    <t>27년 2월</t>
  </si>
  <si>
    <t>26년 12월</t>
  </si>
  <si>
    <t>26년 11월</t>
  </si>
  <si>
    <t>26년 10월</t>
  </si>
  <si>
    <t>26년 9월</t>
  </si>
  <si>
    <t>26년 8월</t>
  </si>
  <si>
    <t>26년 7월</t>
  </si>
  <si>
    <t>26년 6월</t>
  </si>
  <si>
    <t>26년 5월</t>
  </si>
  <si>
    <t>26년 4월</t>
  </si>
  <si>
    <t>26년 3월</t>
  </si>
  <si>
    <t>26년 2월</t>
  </si>
  <si>
    <t>26년 1월</t>
    <phoneticPr fontId="4" type="noConversion"/>
  </si>
  <si>
    <t>성과금</t>
    <phoneticPr fontId="4" type="noConversion"/>
  </si>
  <si>
    <t>실지출</t>
    <phoneticPr fontId="4" type="noConversion"/>
  </si>
  <si>
    <t>테트리스</t>
    <phoneticPr fontId="4" type="noConversion"/>
  </si>
  <si>
    <t>항목</t>
    <phoneticPr fontId="4" type="noConversion"/>
  </si>
  <si>
    <t>날짜</t>
    <phoneticPr fontId="4" type="noConversion"/>
  </si>
  <si>
    <t>용돈</t>
    <phoneticPr fontId="4" type="noConversion"/>
  </si>
  <si>
    <t>여행 환급액</t>
    <phoneticPr fontId="4" type="noConversion"/>
  </si>
  <si>
    <t>여행 최종부담액</t>
    <phoneticPr fontId="4" type="noConversion"/>
  </si>
  <si>
    <t>상여</t>
    <phoneticPr fontId="4" type="noConversion"/>
  </si>
  <si>
    <t>월급</t>
    <phoneticPr fontId="4" type="noConversion"/>
  </si>
  <si>
    <t>계산기 비교</t>
    <phoneticPr fontId="4" type="noConversion"/>
  </si>
  <si>
    <t>계산기</t>
    <phoneticPr fontId="4" type="noConversion"/>
  </si>
  <si>
    <t>변동가계부</t>
    <phoneticPr fontId="4" type="noConversion"/>
  </si>
  <si>
    <t>금액</t>
    <phoneticPr fontId="4" type="noConversion"/>
  </si>
  <si>
    <t>수입</t>
    <phoneticPr fontId="4" type="noConversion"/>
  </si>
  <si>
    <t>LOGIC</t>
    <phoneticPr fontId="4" type="noConversion"/>
  </si>
  <si>
    <t>최종차액합계</t>
    <phoneticPr fontId="4" type="noConversion"/>
  </si>
  <si>
    <t>지출차액</t>
    <phoneticPr fontId="4" type="noConversion"/>
  </si>
  <si>
    <t>최종</t>
    <phoneticPr fontId="4" type="noConversion"/>
  </si>
  <si>
    <t>지출</t>
    <phoneticPr fontId="4" type="noConversion"/>
  </si>
  <si>
    <t>예비비</t>
    <phoneticPr fontId="4" type="noConversion"/>
  </si>
  <si>
    <t>고정지출평균</t>
    <phoneticPr fontId="4" type="noConversion"/>
  </si>
  <si>
    <t>ROUNDUP</t>
    <phoneticPr fontId="4" type="noConversion"/>
  </si>
  <si>
    <t>변동비</t>
    <phoneticPr fontId="4" type="noConversion"/>
  </si>
  <si>
    <t>경조</t>
    <phoneticPr fontId="4" type="noConversion"/>
  </si>
  <si>
    <t>상환비</t>
    <phoneticPr fontId="4" type="noConversion"/>
  </si>
  <si>
    <t>가용비 합계</t>
    <phoneticPr fontId="4" type="noConversion"/>
  </si>
  <si>
    <t>할인(환급)</t>
    <phoneticPr fontId="4" type="noConversion"/>
  </si>
  <si>
    <t>경조사</t>
    <phoneticPr fontId="4" type="noConversion"/>
  </si>
  <si>
    <t>예비</t>
    <phoneticPr fontId="4" type="noConversion"/>
  </si>
  <si>
    <t>상환</t>
    <phoneticPr fontId="4" type="noConversion"/>
  </si>
  <si>
    <t>저축</t>
    <phoneticPr fontId="4" type="noConversion"/>
  </si>
  <si>
    <t>고정지출</t>
    <phoneticPr fontId="4" type="noConversion"/>
  </si>
  <si>
    <t>변동지출</t>
    <phoneticPr fontId="4" type="noConversion"/>
  </si>
  <si>
    <t>실잔액누계</t>
    <phoneticPr fontId="4" type="noConversion"/>
  </si>
  <si>
    <t>25일</t>
    <phoneticPr fontId="4" type="noConversion"/>
  </si>
  <si>
    <t>HQ여행 공금</t>
    <phoneticPr fontId="4" type="noConversion"/>
  </si>
  <si>
    <t>실잔액</t>
    <phoneticPr fontId="4" type="noConversion"/>
  </si>
  <si>
    <t>주택청약</t>
    <phoneticPr fontId="4" type="noConversion"/>
  </si>
  <si>
    <t>테트-실누적</t>
    <phoneticPr fontId="4" type="noConversion"/>
  </si>
  <si>
    <t xml:space="preserve">희망두배 </t>
    <phoneticPr fontId="4" type="noConversion"/>
  </si>
  <si>
    <t>일자</t>
    <phoneticPr fontId="4" type="noConversion"/>
  </si>
  <si>
    <t>차액합계</t>
    <phoneticPr fontId="4" type="noConversion"/>
  </si>
  <si>
    <t>5주차</t>
    <phoneticPr fontId="4" type="noConversion"/>
  </si>
  <si>
    <t>4주차</t>
    <phoneticPr fontId="4" type="noConversion"/>
  </si>
  <si>
    <t>3주차</t>
    <phoneticPr fontId="4" type="noConversion"/>
  </si>
  <si>
    <t>2주차</t>
    <phoneticPr fontId="4" type="noConversion"/>
  </si>
  <si>
    <t>1주차</t>
    <phoneticPr fontId="4" type="noConversion"/>
  </si>
  <si>
    <t>긴축재정</t>
    <phoneticPr fontId="4" type="noConversion"/>
  </si>
  <si>
    <t>비축</t>
    <phoneticPr fontId="4" type="noConversion"/>
  </si>
  <si>
    <t>KB 충전</t>
    <phoneticPr fontId="4" type="noConversion"/>
  </si>
  <si>
    <t>차액</t>
    <phoneticPr fontId="4" type="noConversion"/>
  </si>
  <si>
    <t>실누적합계</t>
    <phoneticPr fontId="4" type="noConversion"/>
  </si>
  <si>
    <t>테트리스누적</t>
    <phoneticPr fontId="4" type="noConversion"/>
  </si>
  <si>
    <t>테트리스가계부</t>
    <phoneticPr fontId="4" type="noConversion"/>
  </si>
  <si>
    <t>네이버페이</t>
    <phoneticPr fontId="4" type="noConversion"/>
  </si>
  <si>
    <t>MG+S 하나</t>
    <phoneticPr fontId="4" type="noConversion"/>
  </si>
  <si>
    <t>가습기</t>
    <phoneticPr fontId="4" type="noConversion"/>
  </si>
  <si>
    <t>1월 31일</t>
  </si>
  <si>
    <t>1월 30일</t>
  </si>
  <si>
    <t>1월 29일</t>
  </si>
  <si>
    <t>1월 28일</t>
  </si>
  <si>
    <t>1월 27일</t>
  </si>
  <si>
    <t>1월 26일</t>
    <phoneticPr fontId="4" type="noConversion"/>
  </si>
  <si>
    <t>11 PAY</t>
    <phoneticPr fontId="4" type="noConversion"/>
  </si>
  <si>
    <t>LOCA 365</t>
    <phoneticPr fontId="4" type="noConversion"/>
  </si>
  <si>
    <t>휴대폰</t>
    <phoneticPr fontId="4" type="noConversion"/>
  </si>
  <si>
    <t>할부</t>
    <phoneticPr fontId="4" type="noConversion"/>
  </si>
  <si>
    <t>2일</t>
    <phoneticPr fontId="4" type="noConversion"/>
  </si>
  <si>
    <t>카드결제</t>
    <phoneticPr fontId="4" type="noConversion"/>
  </si>
  <si>
    <t>티빙디즈니</t>
    <phoneticPr fontId="4" type="noConversion"/>
  </si>
  <si>
    <t>1일</t>
    <phoneticPr fontId="4" type="noConversion"/>
  </si>
  <si>
    <t>네이버+</t>
    <phoneticPr fontId="4" type="noConversion"/>
  </si>
  <si>
    <t>24일</t>
    <phoneticPr fontId="4" type="noConversion"/>
  </si>
  <si>
    <t>토스페이</t>
    <phoneticPr fontId="4" type="noConversion"/>
  </si>
  <si>
    <t>애플뮤직</t>
    <phoneticPr fontId="4" type="noConversion"/>
  </si>
  <si>
    <t>4일</t>
    <phoneticPr fontId="4" type="noConversion"/>
  </si>
  <si>
    <t>T우주</t>
    <phoneticPr fontId="4" type="noConversion"/>
  </si>
  <si>
    <t>1월 25일</t>
  </si>
  <si>
    <t>1월 24일</t>
  </si>
  <si>
    <t>1월 23일</t>
  </si>
  <si>
    <t>1월 22일</t>
  </si>
  <si>
    <t>1월 21일</t>
  </si>
  <si>
    <t>1월 20일</t>
  </si>
  <si>
    <t>1월 19일</t>
    <phoneticPr fontId="4" type="noConversion"/>
  </si>
  <si>
    <t>26일</t>
    <phoneticPr fontId="4" type="noConversion"/>
  </si>
  <si>
    <t>카카오페이</t>
    <phoneticPr fontId="4" type="noConversion"/>
  </si>
  <si>
    <t>카카오</t>
    <phoneticPr fontId="4" type="noConversion"/>
  </si>
  <si>
    <t>29일</t>
    <phoneticPr fontId="4" type="noConversion"/>
  </si>
  <si>
    <t>쿠팡</t>
    <phoneticPr fontId="4" type="noConversion"/>
  </si>
  <si>
    <t>로켓와우</t>
    <phoneticPr fontId="4" type="noConversion"/>
  </si>
  <si>
    <t>정기구독</t>
    <phoneticPr fontId="4" type="noConversion"/>
  </si>
  <si>
    <t>마지막SAT</t>
    <phoneticPr fontId="4" type="noConversion"/>
  </si>
  <si>
    <t>자동이체</t>
    <phoneticPr fontId="4" type="noConversion"/>
  </si>
  <si>
    <t>CASH</t>
    <phoneticPr fontId="4" type="noConversion"/>
  </si>
  <si>
    <t>30일</t>
    <phoneticPr fontId="4" type="noConversion"/>
  </si>
  <si>
    <t>은행이자</t>
    <phoneticPr fontId="4" type="noConversion"/>
  </si>
  <si>
    <t>1월 18일</t>
  </si>
  <si>
    <t>1월 17일</t>
    <phoneticPr fontId="4" type="noConversion"/>
  </si>
  <si>
    <t>1월 16일</t>
  </si>
  <si>
    <t>1월 15일</t>
  </si>
  <si>
    <t>1월 14일</t>
  </si>
  <si>
    <t>1월 13일</t>
  </si>
  <si>
    <t>1월 12일</t>
    <phoneticPr fontId="4" type="noConversion"/>
  </si>
  <si>
    <t>3영업일</t>
    <phoneticPr fontId="4" type="noConversion"/>
  </si>
  <si>
    <t>KB나라사랑</t>
    <phoneticPr fontId="4" type="noConversion"/>
  </si>
  <si>
    <t>9영업일</t>
    <phoneticPr fontId="4" type="noConversion"/>
  </si>
  <si>
    <t>KB기후동행</t>
    <phoneticPr fontId="4" type="noConversion"/>
  </si>
  <si>
    <t>교통비</t>
    <phoneticPr fontId="4" type="noConversion"/>
  </si>
  <si>
    <t>16일</t>
    <phoneticPr fontId="4" type="noConversion"/>
  </si>
  <si>
    <t>11 PAY(직접)</t>
    <phoneticPr fontId="4" type="noConversion"/>
  </si>
  <si>
    <t>SKB케이블</t>
    <phoneticPr fontId="4" type="noConversion"/>
  </si>
  <si>
    <t>유선통신비</t>
    <phoneticPr fontId="4" type="noConversion"/>
  </si>
  <si>
    <t>9일+10영업일</t>
    <phoneticPr fontId="4" type="noConversion"/>
  </si>
  <si>
    <t>U모바일</t>
    <phoneticPr fontId="4" type="noConversion"/>
  </si>
  <si>
    <t>11일</t>
    <phoneticPr fontId="4" type="noConversion"/>
  </si>
  <si>
    <t>SKT</t>
    <phoneticPr fontId="4" type="noConversion"/>
  </si>
  <si>
    <t>무선통신비</t>
    <phoneticPr fontId="4" type="noConversion"/>
  </si>
  <si>
    <t>1월 11일</t>
    <phoneticPr fontId="4" type="noConversion"/>
  </si>
  <si>
    <t>1월 10일</t>
    <phoneticPr fontId="4" type="noConversion"/>
  </si>
  <si>
    <t>1월 9일</t>
  </si>
  <si>
    <t>1월 8일</t>
  </si>
  <si>
    <t>1월 7일</t>
  </si>
  <si>
    <t>1월 6일</t>
    <phoneticPr fontId="4" type="noConversion"/>
  </si>
  <si>
    <t>1월 5일</t>
    <phoneticPr fontId="4" type="noConversion"/>
  </si>
  <si>
    <t>말일 이내</t>
    <phoneticPr fontId="4" type="noConversion"/>
  </si>
  <si>
    <t>수기결제(전화)</t>
    <phoneticPr fontId="4" type="noConversion"/>
  </si>
  <si>
    <t>보험비</t>
    <phoneticPr fontId="4" type="noConversion"/>
  </si>
  <si>
    <t>매월초(~11일이내)</t>
    <phoneticPr fontId="4" type="noConversion"/>
  </si>
  <si>
    <t>도시가스</t>
    <phoneticPr fontId="4" type="noConversion"/>
  </si>
  <si>
    <t>매달말(22~말일)</t>
    <phoneticPr fontId="4" type="noConversion"/>
  </si>
  <si>
    <t>관리비</t>
    <phoneticPr fontId="4" type="noConversion"/>
  </si>
  <si>
    <t>매달 5일</t>
    <phoneticPr fontId="4" type="noConversion"/>
  </si>
  <si>
    <t>월세</t>
    <phoneticPr fontId="4" type="noConversion"/>
  </si>
  <si>
    <t>결제일</t>
    <phoneticPr fontId="4" type="noConversion"/>
  </si>
  <si>
    <t>결제방법</t>
    <phoneticPr fontId="4" type="noConversion"/>
  </si>
  <si>
    <t>결제수단</t>
    <phoneticPr fontId="4" type="noConversion"/>
  </si>
  <si>
    <t>세부항목</t>
    <phoneticPr fontId="4" type="noConversion"/>
  </si>
  <si>
    <t>1월 4일</t>
    <phoneticPr fontId="4" type="noConversion"/>
  </si>
  <si>
    <t>1월 3일</t>
    <phoneticPr fontId="4" type="noConversion"/>
  </si>
  <si>
    <t>1월 2일</t>
    <phoneticPr fontId="4" type="noConversion"/>
  </si>
  <si>
    <t>1월 1일</t>
    <phoneticPr fontId="4" type="noConversion"/>
  </si>
  <si>
    <t>일</t>
    <phoneticPr fontId="4" type="noConversion"/>
  </si>
  <si>
    <t>토</t>
    <phoneticPr fontId="4" type="noConversion"/>
  </si>
  <si>
    <t>금</t>
    <phoneticPr fontId="4" type="noConversion"/>
  </si>
  <si>
    <t>목</t>
    <phoneticPr fontId="4" type="noConversion"/>
  </si>
  <si>
    <t>수</t>
    <phoneticPr fontId="4" type="noConversion"/>
  </si>
  <si>
    <t>화</t>
    <phoneticPr fontId="4" type="noConversion"/>
  </si>
  <si>
    <t>월</t>
    <phoneticPr fontId="4" type="noConversion"/>
  </si>
  <si>
    <t>YES</t>
    <phoneticPr fontId="4" type="noConversion"/>
  </si>
  <si>
    <t>3회차</t>
    <phoneticPr fontId="4" type="noConversion"/>
  </si>
  <si>
    <t>1월 12일</t>
    <phoneticPr fontId="4" type="noConversion"/>
  </si>
  <si>
    <t>내과 환급</t>
    <phoneticPr fontId="4" type="noConversion"/>
  </si>
  <si>
    <t>1월 13일</t>
    <phoneticPr fontId="4" type="noConversion"/>
  </si>
  <si>
    <t>점심 정산</t>
    <phoneticPr fontId="4" type="noConversion"/>
  </si>
  <si>
    <t>점심 정산</t>
    <phoneticPr fontId="4" type="noConversion"/>
  </si>
  <si>
    <t>1월 14일</t>
    <phoneticPr fontId="4" type="noConversion"/>
  </si>
  <si>
    <t>이번달</t>
    <phoneticPr fontId="4" type="noConversion"/>
  </si>
  <si>
    <t>회차</t>
    <phoneticPr fontId="4" type="noConversion"/>
  </si>
  <si>
    <t>1월 15일</t>
    <phoneticPr fontId="4" type="noConversion"/>
  </si>
  <si>
    <t>두쫀쿠 대리구매</t>
    <phoneticPr fontId="4" type="noConversion"/>
  </si>
  <si>
    <t>볼드체=입금완료</t>
    <phoneticPr fontId="4" type="noConversion"/>
  </si>
  <si>
    <t>여동생 생일</t>
    <phoneticPr fontId="4" type="noConversion"/>
  </si>
  <si>
    <t>휴가비지원</t>
    <phoneticPr fontId="4" type="noConversion"/>
  </si>
  <si>
    <t>1월 29일</t>
    <phoneticPr fontId="4" type="noConversion"/>
  </si>
  <si>
    <t>마라탕 정산</t>
    <phoneticPr fontId="4" type="noConversion"/>
  </si>
  <si>
    <t>김민선 생일</t>
    <phoneticPr fontId="4" type="noConversion"/>
  </si>
  <si>
    <t>최종금액</t>
    <phoneticPr fontId="4" type="noConversion"/>
  </si>
  <si>
    <t>할인환급액</t>
    <phoneticPr fontId="4" type="noConversion"/>
  </si>
  <si>
    <t>1월 31일</t>
    <phoneticPr fontId="4" type="noConversion"/>
  </si>
  <si>
    <t>하나카드 할인</t>
    <phoneticPr fontId="4" type="noConversion"/>
  </si>
  <si>
    <t>12월사용분(전달)</t>
    <phoneticPr fontId="4" type="noConversion"/>
  </si>
  <si>
    <t>결제일 기준으로 작성할것 (세부항목 참조)</t>
    <phoneticPr fontId="4" type="noConversion"/>
  </si>
  <si>
    <t>할인환급항목</t>
    <phoneticPr fontId="4" type="noConversion"/>
  </si>
  <si>
    <t>2월 1일</t>
    <phoneticPr fontId="4" type="noConversion"/>
  </si>
  <si>
    <t>2월 2일</t>
    <phoneticPr fontId="4" type="noConversion"/>
  </si>
  <si>
    <t>2월 3일</t>
  </si>
  <si>
    <t>2월 4일</t>
  </si>
  <si>
    <t>2월 5일</t>
  </si>
  <si>
    <t>2월 6일</t>
  </si>
  <si>
    <t>2월 7일</t>
    <phoneticPr fontId="4" type="noConversion"/>
  </si>
  <si>
    <t>2월 8일</t>
    <phoneticPr fontId="4" type="noConversion"/>
  </si>
  <si>
    <t>2월 9일</t>
    <phoneticPr fontId="4" type="noConversion"/>
  </si>
  <si>
    <t>2월 10일</t>
  </si>
  <si>
    <t>2월 11일</t>
  </si>
  <si>
    <t>2월 12일</t>
  </si>
  <si>
    <t>2월 13일</t>
  </si>
  <si>
    <t>2월 14일</t>
    <phoneticPr fontId="4" type="noConversion"/>
  </si>
  <si>
    <t>2월 15일</t>
    <phoneticPr fontId="4" type="noConversion"/>
  </si>
  <si>
    <t>2월 16일</t>
    <phoneticPr fontId="4" type="noConversion"/>
  </si>
  <si>
    <t>2월 17일</t>
  </si>
  <si>
    <t>2월 18일</t>
  </si>
  <si>
    <t>2월 19일</t>
  </si>
  <si>
    <t>2월 20일</t>
  </si>
  <si>
    <t>2월 21일</t>
    <phoneticPr fontId="4" type="noConversion"/>
  </si>
  <si>
    <t>2월 22일</t>
    <phoneticPr fontId="4" type="noConversion"/>
  </si>
  <si>
    <t>2월 23일</t>
    <phoneticPr fontId="4" type="noConversion"/>
  </si>
  <si>
    <t>2월 24일</t>
  </si>
  <si>
    <t>2월 25일</t>
  </si>
  <si>
    <t>2월 26일</t>
  </si>
  <si>
    <t>2월 27일</t>
  </si>
  <si>
    <t>2월 28일</t>
  </si>
  <si>
    <t>4회차</t>
    <phoneticPr fontId="4" type="noConversion"/>
  </si>
  <si>
    <t>NO</t>
    <phoneticPr fontId="4" type="noConversion"/>
  </si>
  <si>
    <t>1월사용분(전달)</t>
    <phoneticPr fontId="4" type="noConversion"/>
  </si>
  <si>
    <t>기후동행(1월)</t>
    <phoneticPr fontId="4" type="noConversion"/>
  </si>
  <si>
    <t>나라사랑(1월)</t>
    <phoneticPr fontId="4" type="noConversion"/>
  </si>
  <si>
    <t>기후동행(12월)</t>
    <phoneticPr fontId="4" type="noConversion"/>
  </si>
  <si>
    <t>나라사랑(12월)</t>
    <phoneticPr fontId="4" type="noConversion"/>
  </si>
  <si>
    <t>할인환급</t>
    <phoneticPr fontId="4" type="noConversion"/>
  </si>
  <si>
    <t>2/1~2/7</t>
    <phoneticPr fontId="4" type="noConversion"/>
  </si>
  <si>
    <t>2/8~2/14</t>
    <phoneticPr fontId="4" type="noConversion"/>
  </si>
  <si>
    <t>2/15~2/21</t>
    <phoneticPr fontId="4" type="noConversion"/>
  </si>
  <si>
    <t>2/22~2/28</t>
    <phoneticPr fontId="4" type="noConversion"/>
  </si>
  <si>
    <t>주차금액</t>
    <phoneticPr fontId="4" type="noConversion"/>
  </si>
  <si>
    <t>2월 3일</t>
    <phoneticPr fontId="4" type="noConversion"/>
  </si>
  <si>
    <t>계산기의 경우 할인환급을 제외한 금액으로 비교</t>
  </si>
  <si>
    <t>주차금액은 할인환급을 반영한, 실제 사용금액으로 비율 계산</t>
    <phoneticPr fontId="4" type="noConversion"/>
  </si>
  <si>
    <t>2월 13일</t>
    <phoneticPr fontId="4" type="noConversion"/>
  </si>
  <si>
    <t>보험비 환급</t>
    <phoneticPr fontId="4" type="noConversion"/>
  </si>
  <si>
    <t>빨간색 볼드 = 지출완료</t>
    <phoneticPr fontId="4" type="noConversion"/>
  </si>
  <si>
    <t>초록색볼드=미사용으로 인한 예비비로 이전</t>
    <phoneticPr fontId="4" type="noConversion"/>
  </si>
  <si>
    <t>3월 1일</t>
    <phoneticPr fontId="4" type="noConversion"/>
  </si>
  <si>
    <t>3월 2일</t>
    <phoneticPr fontId="4" type="noConversion"/>
  </si>
  <si>
    <t>3월 3일</t>
    <phoneticPr fontId="4" type="noConversion"/>
  </si>
  <si>
    <t>3월 4일</t>
  </si>
  <si>
    <t>3월 5일</t>
  </si>
  <si>
    <t>3월 6일</t>
  </si>
  <si>
    <t>3월 7일</t>
  </si>
  <si>
    <t>3월 8일</t>
  </si>
  <si>
    <t>3월 9일</t>
    <phoneticPr fontId="4" type="noConversion"/>
  </si>
  <si>
    <t>3월 10일</t>
  </si>
  <si>
    <t>3월 11일</t>
  </si>
  <si>
    <t>3월 12일</t>
  </si>
  <si>
    <t>3월 13일</t>
  </si>
  <si>
    <t>3월 14일</t>
  </si>
  <si>
    <t>3월 16일</t>
    <phoneticPr fontId="4" type="noConversion"/>
  </si>
  <si>
    <t>3월 17일</t>
  </si>
  <si>
    <t>3월 18일</t>
  </si>
  <si>
    <t>3월 19일</t>
  </si>
  <si>
    <t>3월 20일</t>
  </si>
  <si>
    <t>3월 21일</t>
  </si>
  <si>
    <t>3월 23일</t>
    <phoneticPr fontId="4" type="noConversion"/>
  </si>
  <si>
    <t>3월 24일</t>
  </si>
  <si>
    <t>3월 25일</t>
  </si>
  <si>
    <t>3월 26일</t>
  </si>
  <si>
    <t>3월 27일</t>
  </si>
  <si>
    <t>3월 28일</t>
  </si>
  <si>
    <t>3월 29일</t>
    <phoneticPr fontId="4" type="noConversion"/>
  </si>
  <si>
    <t>화</t>
  </si>
  <si>
    <t>수</t>
  </si>
  <si>
    <t>목</t>
  </si>
  <si>
    <t>금</t>
  </si>
  <si>
    <t>토</t>
  </si>
  <si>
    <t>3월 15일</t>
    <phoneticPr fontId="4" type="noConversion"/>
  </si>
  <si>
    <t>3월 22일</t>
    <phoneticPr fontId="4" type="noConversion"/>
  </si>
  <si>
    <t>3월 31일</t>
  </si>
  <si>
    <t>3월 30일</t>
    <phoneticPr fontId="4" type="noConversion"/>
  </si>
  <si>
    <t>5회차</t>
    <phoneticPr fontId="4" type="noConversion"/>
  </si>
  <si>
    <t>기후동행(2월)</t>
    <phoneticPr fontId="4" type="noConversion"/>
  </si>
  <si>
    <t>나라사랑(2월)</t>
    <phoneticPr fontId="4" type="noConversion"/>
  </si>
  <si>
    <t>B 결제</t>
    <phoneticPr fontId="4" type="noConversion"/>
  </si>
  <si>
    <t>G 최종확정금액</t>
    <phoneticPr fontId="4" type="noConversion"/>
  </si>
  <si>
    <t>투자</t>
    <phoneticPr fontId="4" type="noConversion"/>
  </si>
  <si>
    <t>연금저축펀드</t>
    <phoneticPr fontId="4" type="noConversion"/>
  </si>
  <si>
    <t>위탁계좌</t>
    <phoneticPr fontId="4" type="noConversion"/>
  </si>
  <si>
    <t>ISA</t>
    <phoneticPr fontId="4" type="noConversion"/>
  </si>
  <si>
    <t>R 미정(추정)</t>
    <phoneticPr fontId="4" type="noConversion"/>
  </si>
  <si>
    <t>3월 4일</t>
    <phoneticPr fontId="4" type="noConversion"/>
  </si>
  <si>
    <t>보험비 환급</t>
    <phoneticPr fontId="4" type="noConversion"/>
  </si>
  <si>
    <t>먼작귀</t>
  </si>
  <si>
    <t>샥즈 이어폰</t>
  </si>
  <si>
    <t>마라탕</t>
    <phoneticPr fontId="4" type="noConversion"/>
  </si>
  <si>
    <t>3월 24일</t>
    <phoneticPr fontId="4" type="noConversion"/>
  </si>
  <si>
    <t>가이드라인</t>
    <phoneticPr fontId="4" type="noConversion"/>
  </si>
  <si>
    <t>이가현 생일</t>
    <phoneticPr fontId="4" type="noConversion"/>
  </si>
  <si>
    <t>3월 31일</t>
    <phoneticPr fontId="4" type="noConversion"/>
  </si>
  <si>
    <t>진미식당 정산</t>
    <phoneticPr fontId="4" type="noConversion"/>
  </si>
  <si>
    <t>4월 1일</t>
    <phoneticPr fontId="4" type="noConversion"/>
  </si>
  <si>
    <t>4월 2일</t>
    <phoneticPr fontId="4" type="noConversion"/>
  </si>
  <si>
    <t>4월 3일</t>
  </si>
  <si>
    <t>4월 4일</t>
  </si>
  <si>
    <t>4월 5일</t>
    <phoneticPr fontId="4" type="noConversion"/>
  </si>
  <si>
    <t>4월 7일</t>
  </si>
  <si>
    <t>4월 8일</t>
  </si>
  <si>
    <t>4월 9일</t>
  </si>
  <si>
    <t>4월 10일</t>
  </si>
  <si>
    <t>4월 11일</t>
  </si>
  <si>
    <t>4월 6일</t>
    <phoneticPr fontId="4" type="noConversion"/>
  </si>
  <si>
    <t>4월 12일</t>
  </si>
  <si>
    <t>4월 14일</t>
  </si>
  <si>
    <t>4월 15일</t>
  </si>
  <si>
    <t>4월 16일</t>
  </si>
  <si>
    <t>4월 17일</t>
  </si>
  <si>
    <t>4월 18일</t>
  </si>
  <si>
    <t>4월 22일</t>
  </si>
  <si>
    <t>4월 13일</t>
    <phoneticPr fontId="4" type="noConversion"/>
  </si>
  <si>
    <t>4월 19일</t>
  </si>
  <si>
    <t>4월 23일</t>
  </si>
  <si>
    <t>4월 24일</t>
  </si>
  <si>
    <t>4월 25일</t>
  </si>
  <si>
    <t>4월 26일</t>
  </si>
  <si>
    <t>4월 28일</t>
  </si>
  <si>
    <t>4월 29일</t>
  </si>
  <si>
    <t>4월 20일</t>
    <phoneticPr fontId="4" type="noConversion"/>
  </si>
  <si>
    <t>4월 21일</t>
  </si>
  <si>
    <t>4월 27일</t>
    <phoneticPr fontId="4" type="noConversion"/>
  </si>
  <si>
    <t>4월 30일</t>
  </si>
  <si>
    <t>용돈</t>
  </si>
  <si>
    <t>잔금 이월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</si>
  <si>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</si>
  <si>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</si>
  <si>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</si>
  <si>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</si>
  <si>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</si>
  <si>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</si>
  <si>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</si>
  <si>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</si>
  <si>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</si>
  <si>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</si>
  <si>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27년 1월</t>
  </si>
  <si>
    <t>생활비</t>
  </si>
  <si>
    <t>잔액</t>
  </si>
  <si>
    <t>이월금</t>
  </si>
  <si>
    <t>내역</t>
  </si>
  <si>
    <t>창억떡</t>
  </si>
  <si>
    <t>상환비</t>
  </si>
  <si>
    <t>입금</t>
  </si>
  <si>
    <t>여행비</t>
  </si>
  <si>
    <t>명절비</t>
  </si>
  <si>
    <t>경조사비</t>
  </si>
  <si>
    <t>예비비</t>
  </si>
  <si>
    <t>결제대금비</t>
  </si>
  <si>
    <t>월세</t>
  </si>
  <si>
    <t>카드대금</t>
  </si>
  <si>
    <t>월별합계</t>
  </si>
  <si>
    <t>KTX</t>
    <phoneticPr fontId="4" type="noConversion"/>
  </si>
  <si>
    <t>KTX(대리)</t>
    <phoneticPr fontId="4" type="noConversion"/>
  </si>
  <si>
    <t>롯데카드</t>
    <phoneticPr fontId="4" type="noConversion"/>
  </si>
  <si>
    <t>8회차</t>
    <phoneticPr fontId="4" type="noConversion"/>
  </si>
  <si>
    <t>7회차</t>
    <phoneticPr fontId="4" type="noConversion"/>
  </si>
  <si>
    <t>6회차</t>
    <phoneticPr fontId="4" type="noConversion"/>
  </si>
  <si>
    <t>회성각</t>
    <phoneticPr fontId="4" type="noConversion"/>
  </si>
  <si>
    <t>숙소추가비</t>
    <phoneticPr fontId="4" type="noConversion"/>
  </si>
  <si>
    <t>단골손님</t>
    <phoneticPr fontId="4" type="noConversion"/>
  </si>
  <si>
    <t>배스킨라빈스</t>
    <phoneticPr fontId="4" type="noConversion"/>
  </si>
  <si>
    <t>CU</t>
    <phoneticPr fontId="4" type="noConversion"/>
  </si>
  <si>
    <t>배민(삼덕치킨)</t>
    <phoneticPr fontId="4" type="noConversion"/>
  </si>
  <si>
    <t>수성못</t>
    <phoneticPr fontId="4" type="noConversion"/>
  </si>
  <si>
    <t>근본국밥</t>
    <phoneticPr fontId="4" type="noConversion"/>
  </si>
  <si>
    <t>투썸플레이스</t>
    <phoneticPr fontId="4" type="noConversion"/>
  </si>
  <si>
    <t>환급</t>
    <phoneticPr fontId="4" type="noConversion"/>
  </si>
  <si>
    <t>하나카드할인</t>
    <phoneticPr fontId="4" type="noConversion"/>
  </si>
  <si>
    <t>현금지출은 표기x</t>
    <phoneticPr fontId="4" type="noConversion"/>
  </si>
  <si>
    <t>5월 1일</t>
    <phoneticPr fontId="4" type="noConversion"/>
  </si>
  <si>
    <t>5월 2일</t>
    <phoneticPr fontId="4" type="noConversion"/>
  </si>
  <si>
    <t>5월 3일</t>
    <phoneticPr fontId="4" type="noConversion"/>
  </si>
  <si>
    <t>5월 4일</t>
    <phoneticPr fontId="4" type="noConversion"/>
  </si>
  <si>
    <t>5월 5일</t>
    <phoneticPr fontId="4" type="noConversion"/>
  </si>
  <si>
    <t>5월 6일</t>
    <phoneticPr fontId="4" type="noConversion"/>
  </si>
  <si>
    <t>5월 7일</t>
  </si>
  <si>
    <t>5월 8일</t>
  </si>
  <si>
    <t>5월 9일</t>
  </si>
  <si>
    <t>5월 10일</t>
  </si>
  <si>
    <t>5월 11일</t>
    <phoneticPr fontId="4" type="noConversion"/>
  </si>
  <si>
    <t>5월 12일</t>
  </si>
  <si>
    <t>5월 13일</t>
  </si>
  <si>
    <t>5월 14일</t>
  </si>
  <si>
    <t>5월 15일</t>
  </si>
  <si>
    <t>5월 16일</t>
  </si>
  <si>
    <t>5월 17일</t>
  </si>
  <si>
    <t>5월 18일</t>
    <phoneticPr fontId="4" type="noConversion"/>
  </si>
  <si>
    <t>5월 19일</t>
  </si>
  <si>
    <t>5월 20일</t>
  </si>
  <si>
    <t>5월 21일</t>
  </si>
  <si>
    <t>5월 22일</t>
  </si>
  <si>
    <t>5월 23일</t>
  </si>
  <si>
    <t>5월 24일</t>
  </si>
  <si>
    <t>5월 25일</t>
    <phoneticPr fontId="4" type="noConversion"/>
  </si>
  <si>
    <t>5월 26일</t>
  </si>
  <si>
    <t>5월 27일</t>
  </si>
  <si>
    <t>5월 28일</t>
  </si>
  <si>
    <t>5월 29일</t>
  </si>
  <si>
    <t>5월 30일</t>
  </si>
  <si>
    <t>5월 31일</t>
  </si>
  <si>
    <t>9회차</t>
    <phoneticPr fontId="4" type="noConversion"/>
  </si>
  <si>
    <t>1회차</t>
    <phoneticPr fontId="4" type="noConversion"/>
  </si>
  <si>
    <t>에어팟프로3</t>
    <phoneticPr fontId="4" type="noConversion"/>
  </si>
  <si>
    <t>5일</t>
    <phoneticPr fontId="4" type="noConversion"/>
  </si>
  <si>
    <t>기후동행(3월)</t>
    <phoneticPr fontId="4" type="noConversion"/>
  </si>
  <si>
    <t>나라사랑(3월)</t>
    <phoneticPr fontId="4" type="noConversion"/>
  </si>
  <si>
    <t>기후동행(4월)</t>
    <phoneticPr fontId="4" type="noConversion"/>
  </si>
  <si>
    <t>나라사랑(4월)</t>
    <phoneticPr fontId="4" type="noConversion"/>
  </si>
  <si>
    <t>엄마 용돈</t>
    <phoneticPr fontId="4" type="noConversion"/>
  </si>
  <si>
    <t>*어버이날은 예비비로 지출해서 표기x</t>
    <phoneticPr fontId="4" type="noConversion"/>
  </si>
  <si>
    <t>3월사용분(전달)</t>
    <phoneticPr fontId="4" type="noConversion"/>
  </si>
  <si>
    <t>2월사용분(전달)</t>
    <phoneticPr fontId="4" type="noConversion"/>
  </si>
  <si>
    <t>4월사용분(전달)</t>
    <phoneticPr fontId="4" type="noConversion"/>
  </si>
  <si>
    <t>이체</t>
  </si>
  <si>
    <t>써브웨이</t>
    <phoneticPr fontId="4" type="noConversion"/>
  </si>
  <si>
    <t>5월 27일</t>
    <phoneticPr fontId="4" type="noConversion"/>
  </si>
  <si>
    <t>젓가락질</t>
    <phoneticPr fontId="4" type="noConversion"/>
  </si>
  <si>
    <t>5월사용분(전달)</t>
    <phoneticPr fontId="4" type="noConversion"/>
  </si>
  <si>
    <t>6월 1일</t>
    <phoneticPr fontId="4" type="noConversion"/>
  </si>
  <si>
    <t>6월 2일</t>
    <phoneticPr fontId="4" type="noConversion"/>
  </si>
  <si>
    <t>6월 3일</t>
    <phoneticPr fontId="4" type="noConversion"/>
  </si>
  <si>
    <t>6월 4일</t>
    <phoneticPr fontId="4" type="noConversion"/>
  </si>
  <si>
    <t>6월 5일</t>
    <phoneticPr fontId="4" type="noConversion"/>
  </si>
  <si>
    <t>6월 7일</t>
    <phoneticPr fontId="4" type="noConversion"/>
  </si>
  <si>
    <t>6월 6일</t>
    <phoneticPr fontId="4" type="noConversion"/>
  </si>
  <si>
    <t>6월 8일</t>
    <phoneticPr fontId="4" type="noConversion"/>
  </si>
  <si>
    <t>6월 9일</t>
    <phoneticPr fontId="4" type="noConversion"/>
  </si>
  <si>
    <t>6월 10일</t>
  </si>
  <si>
    <t>6월 11일</t>
  </si>
  <si>
    <t>6월 12일</t>
  </si>
  <si>
    <t>6월 13일</t>
  </si>
  <si>
    <t>6월 14일</t>
  </si>
  <si>
    <t>6월 15일</t>
    <phoneticPr fontId="4" type="noConversion"/>
  </si>
  <si>
    <t>6월 16일</t>
  </si>
  <si>
    <t>6월 17일</t>
  </si>
  <si>
    <t>6월 18일</t>
  </si>
  <si>
    <t>6월 19일</t>
  </si>
  <si>
    <t>6월 20일</t>
  </si>
  <si>
    <t>6월 21일</t>
  </si>
  <si>
    <t>6월 22일</t>
    <phoneticPr fontId="4" type="noConversion"/>
  </si>
  <si>
    <t>6월 23일</t>
  </si>
  <si>
    <t>6월 24일</t>
  </si>
  <si>
    <t>6월 25일</t>
  </si>
  <si>
    <t>6월 26일</t>
  </si>
  <si>
    <t>6월 27일</t>
  </si>
  <si>
    <t>6월 28일</t>
  </si>
  <si>
    <t>6월 29일</t>
    <phoneticPr fontId="4" type="noConversion"/>
  </si>
  <si>
    <t>6월 30일</t>
  </si>
  <si>
    <t>2회차</t>
    <phoneticPr fontId="4" type="noConversion"/>
  </si>
  <si>
    <t>10회차</t>
    <phoneticPr fontId="4" type="noConversion"/>
  </si>
  <si>
    <t>나라사랑(5월)</t>
    <phoneticPr fontId="4" type="noConversion"/>
  </si>
  <si>
    <t>기후동행(5월)</t>
    <phoneticPr fontId="4" type="noConversion"/>
  </si>
  <si>
    <t>아버지 지원</t>
    <phoneticPr fontId="4" type="noConversion"/>
  </si>
  <si>
    <t>잔액</t>
    <phoneticPr fontId="4" type="noConversion"/>
  </si>
  <si>
    <t>추가 지원금</t>
    <phoneticPr fontId="4" type="noConversion"/>
  </si>
  <si>
    <t>대출비</t>
    <phoneticPr fontId="4" type="noConversion"/>
  </si>
  <si>
    <t>계약금 납부</t>
    <phoneticPr fontId="4" type="noConversion"/>
  </si>
  <si>
    <t>잔금납부</t>
    <phoneticPr fontId="4" type="noConversion"/>
  </si>
  <si>
    <t>연신내 THE STUDIO 163</t>
    <phoneticPr fontId="4" type="noConversion"/>
  </si>
  <si>
    <t>모임</t>
    <phoneticPr fontId="4" type="noConversion"/>
  </si>
  <si>
    <t>세연 선물</t>
    <phoneticPr fontId="4" type="noConversion"/>
  </si>
  <si>
    <t>6월사용분(전달)</t>
    <phoneticPr fontId="4" type="noConversion"/>
  </si>
  <si>
    <t>기후동행(6월)</t>
    <phoneticPr fontId="4" type="noConversion"/>
  </si>
  <si>
    <t>7월 1일</t>
    <phoneticPr fontId="4" type="noConversion"/>
  </si>
  <si>
    <t>7월 2일</t>
  </si>
  <si>
    <t>7월 3일</t>
  </si>
  <si>
    <t>7월 4일</t>
  </si>
  <si>
    <t>7월 5일</t>
  </si>
  <si>
    <t>7월 6일</t>
    <phoneticPr fontId="4" type="noConversion"/>
  </si>
  <si>
    <t>7월 7일</t>
  </si>
  <si>
    <t>7월 8일</t>
  </si>
  <si>
    <t>7월 9일</t>
  </si>
  <si>
    <t>7월 10일</t>
  </si>
  <si>
    <t>7월 11일</t>
  </si>
  <si>
    <t>7월 12일</t>
  </si>
  <si>
    <t>7월 13일</t>
    <phoneticPr fontId="4" type="noConversion"/>
  </si>
  <si>
    <t>7월 14일</t>
  </si>
  <si>
    <t>7월 15일</t>
  </si>
  <si>
    <t>7월 16일</t>
  </si>
  <si>
    <t>7월 17일</t>
  </si>
  <si>
    <t>7월 18일</t>
  </si>
  <si>
    <t>7월 19일</t>
  </si>
  <si>
    <t>7월 20일</t>
    <phoneticPr fontId="4" type="noConversion"/>
  </si>
  <si>
    <t>7월 21일</t>
  </si>
  <si>
    <t>7월 22일</t>
  </si>
  <si>
    <t>7월 23일</t>
  </si>
  <si>
    <t>7월 24일</t>
  </si>
  <si>
    <t>7월 25일</t>
  </si>
  <si>
    <t>7월 26일</t>
  </si>
  <si>
    <t>7월 29일</t>
  </si>
  <si>
    <t>7월 27일</t>
    <phoneticPr fontId="4" type="noConversion"/>
  </si>
  <si>
    <t>7월 28일</t>
  </si>
  <si>
    <t>7월 30일</t>
  </si>
  <si>
    <t>7월 31일</t>
  </si>
  <si>
    <t>K패스</t>
    <phoneticPr fontId="4" type="noConversion"/>
  </si>
  <si>
    <t>애플케어플러스</t>
    <phoneticPr fontId="4" type="noConversion"/>
  </si>
  <si>
    <t>김민연 생일</t>
    <phoneticPr fontId="4" type="noConversion"/>
  </si>
  <si>
    <t>신한은행V2</t>
    <phoneticPr fontId="4" type="noConversion"/>
  </si>
  <si>
    <t>후불</t>
    <phoneticPr fontId="4" type="noConversion"/>
  </si>
  <si>
    <t>숙소</t>
    <phoneticPr fontId="4" type="noConversion"/>
  </si>
  <si>
    <t>우버택시</t>
    <phoneticPr fontId="4" type="noConversion"/>
  </si>
  <si>
    <t>의자</t>
    <phoneticPr fontId="4" type="noConversion"/>
  </si>
  <si>
    <t>50L종량제</t>
    <phoneticPr fontId="4" type="noConversion"/>
  </si>
  <si>
    <t>티비</t>
    <phoneticPr fontId="4" type="noConversion"/>
  </si>
  <si>
    <t>다이소몰</t>
    <phoneticPr fontId="4" type="noConversion"/>
  </si>
  <si>
    <t>이케아</t>
    <phoneticPr fontId="4" type="noConversion"/>
  </si>
  <si>
    <t>매트리스</t>
    <phoneticPr fontId="4" type="noConversion"/>
  </si>
  <si>
    <t>침대</t>
    <phoneticPr fontId="4" type="noConversion"/>
  </si>
  <si>
    <t>식탁</t>
    <phoneticPr fontId="4" type="noConversion"/>
  </si>
  <si>
    <t>선반</t>
    <phoneticPr fontId="4" type="noConversion"/>
  </si>
  <si>
    <t>커튼</t>
    <phoneticPr fontId="4" type="noConversion"/>
  </si>
  <si>
    <t>배송비</t>
    <phoneticPr fontId="4" type="noConversion"/>
  </si>
  <si>
    <t>포장이사</t>
    <phoneticPr fontId="4" type="noConversion"/>
  </si>
  <si>
    <t>입주청소</t>
    <phoneticPr fontId="4" type="noConversion"/>
  </si>
  <si>
    <t>보증금</t>
    <phoneticPr fontId="4" type="noConversion"/>
  </si>
  <si>
    <t>월세환불금(11일치)</t>
    <phoneticPr fontId="4" type="noConversion"/>
  </si>
  <si>
    <t>장기수선충당금</t>
    <phoneticPr fontId="4" type="noConversion"/>
  </si>
  <si>
    <t>청소비</t>
    <phoneticPr fontId="4" type="noConversion"/>
  </si>
  <si>
    <t>정산</t>
    <phoneticPr fontId="4" type="noConversion"/>
  </si>
  <si>
    <t>확정</t>
    <phoneticPr fontId="4" type="noConversion"/>
  </si>
  <si>
    <t>인터넷 설치비</t>
    <phoneticPr fontId="4" type="noConversion"/>
  </si>
  <si>
    <t>인터넷 페이백</t>
    <phoneticPr fontId="4" type="noConversion"/>
  </si>
  <si>
    <t>11회차</t>
    <phoneticPr fontId="4" type="noConversion"/>
  </si>
  <si>
    <t>8월 1일</t>
    <phoneticPr fontId="4" type="noConversion"/>
  </si>
  <si>
    <t>8월 2일</t>
    <phoneticPr fontId="4" type="noConversion"/>
  </si>
  <si>
    <t>8월 3일</t>
    <phoneticPr fontId="4" type="noConversion"/>
  </si>
  <si>
    <t>8월 4일</t>
    <phoneticPr fontId="4" type="noConversion"/>
  </si>
  <si>
    <t>8월 5일</t>
  </si>
  <si>
    <t>8월 6일</t>
  </si>
  <si>
    <t>8월 7일</t>
  </si>
  <si>
    <t>8월 8일</t>
    <phoneticPr fontId="4" type="noConversion"/>
  </si>
  <si>
    <t>8월 9일</t>
    <phoneticPr fontId="4" type="noConversion"/>
  </si>
  <si>
    <t>8월 10일</t>
    <phoneticPr fontId="4" type="noConversion"/>
  </si>
  <si>
    <t>8월 11일</t>
  </si>
  <si>
    <t>8월 12일</t>
  </si>
  <si>
    <t>8월 13일</t>
  </si>
  <si>
    <t>8월 14일</t>
  </si>
  <si>
    <t>8월 15일</t>
    <phoneticPr fontId="4" type="noConversion"/>
  </si>
  <si>
    <t>8월 16일</t>
    <phoneticPr fontId="4" type="noConversion"/>
  </si>
  <si>
    <t>8월 17일</t>
    <phoneticPr fontId="4" type="noConversion"/>
  </si>
  <si>
    <t>8월 18일</t>
    <phoneticPr fontId="4" type="noConversion"/>
  </si>
  <si>
    <t>8월 19일</t>
  </si>
  <si>
    <t>8월 20일</t>
  </si>
  <si>
    <t>8월 21일</t>
  </si>
  <si>
    <t>8월 22일</t>
    <phoneticPr fontId="4" type="noConversion"/>
  </si>
  <si>
    <t>8월 23일</t>
    <phoneticPr fontId="4" type="noConversion"/>
  </si>
  <si>
    <t>8월 24일</t>
    <phoneticPr fontId="4" type="noConversion"/>
  </si>
  <si>
    <t>8월 25일</t>
  </si>
  <si>
    <t>8월 26일</t>
  </si>
  <si>
    <t>8월 27일</t>
  </si>
  <si>
    <t>8월 28일</t>
  </si>
  <si>
    <t>8월 29일</t>
  </si>
  <si>
    <t>8월 30일</t>
  </si>
  <si>
    <t>7월사용분(전달)</t>
    <phoneticPr fontId="4" type="noConversion"/>
  </si>
  <si>
    <t>LG헬로비전</t>
    <phoneticPr fontId="4" type="noConversion"/>
  </si>
  <si>
    <t>신한은행</t>
    <phoneticPr fontId="4" type="noConversion"/>
  </si>
  <si>
    <t>전세대출이자</t>
    <phoneticPr fontId="4" type="noConversion"/>
  </si>
  <si>
    <t>8월 31일</t>
    <phoneticPr fontId="4" type="noConversion"/>
  </si>
  <si>
    <t>13일</t>
    <phoneticPr fontId="4" type="noConversion"/>
  </si>
  <si>
    <t>매달중(25일희망)</t>
    <phoneticPr fontId="4" type="noConversion"/>
  </si>
  <si>
    <t>10일</t>
    <phoneticPr fontId="4" type="noConversion"/>
  </si>
  <si>
    <t>컴퓨터의자</t>
    <phoneticPr fontId="4" type="noConversion"/>
  </si>
  <si>
    <t>다이소매장</t>
    <phoneticPr fontId="4" type="noConversion"/>
  </si>
  <si>
    <t>커버링</t>
    <phoneticPr fontId="4" type="noConversion"/>
  </si>
  <si>
    <t>성수 아늑</t>
    <phoneticPr fontId="4" type="noConversion"/>
  </si>
  <si>
    <t>8월 13일</t>
    <phoneticPr fontId="4" type="noConversion"/>
  </si>
  <si>
    <t>SKB</t>
    <phoneticPr fontId="4" type="noConversion"/>
  </si>
  <si>
    <t>잔금결제</t>
    <phoneticPr fontId="4" type="noConversion"/>
  </si>
  <si>
    <t>일시불</t>
    <phoneticPr fontId="4" type="noConversion"/>
  </si>
  <si>
    <t>승훈생일선물</t>
    <phoneticPr fontId="4" type="noConversion"/>
  </si>
  <si>
    <t>승훈생일케익</t>
    <phoneticPr fontId="4" type="noConversion"/>
  </si>
  <si>
    <t>성수숙소 정산</t>
    <phoneticPr fontId="4" type="noConversion"/>
  </si>
  <si>
    <t>교육</t>
    <phoneticPr fontId="4" type="noConversion"/>
  </si>
  <si>
    <t>12회차</t>
    <phoneticPr fontId="4" type="noConversion"/>
  </si>
  <si>
    <t>바디드라이기</t>
    <phoneticPr fontId="4" type="noConversion"/>
  </si>
  <si>
    <t>8월 30일</t>
    <phoneticPr fontId="4" type="noConversion"/>
  </si>
  <si>
    <t>여행총경비</t>
    <phoneticPr fontId="4" type="noConversion"/>
  </si>
  <si>
    <t>HQ여행 정산</t>
    <phoneticPr fontId="4" type="noConversion"/>
  </si>
  <si>
    <t>기후동행환급</t>
    <phoneticPr fontId="4" type="noConversion"/>
  </si>
  <si>
    <t>9월 1일</t>
    <phoneticPr fontId="4" type="noConversion"/>
  </si>
  <si>
    <t>9월 2일</t>
  </si>
  <si>
    <t>9월 3일</t>
  </si>
  <si>
    <t>9월 4일</t>
  </si>
  <si>
    <t>9월 5일</t>
    <phoneticPr fontId="4" type="noConversion"/>
  </si>
  <si>
    <t>9월 6일</t>
    <phoneticPr fontId="4" type="noConversion"/>
  </si>
  <si>
    <t>9월 7일</t>
    <phoneticPr fontId="4" type="noConversion"/>
  </si>
  <si>
    <t>9월 8일</t>
  </si>
  <si>
    <t>9월 9일</t>
  </si>
  <si>
    <t>9월 10일</t>
  </si>
  <si>
    <t>9월 11일</t>
  </si>
  <si>
    <t>9월 12일</t>
    <phoneticPr fontId="4" type="noConversion"/>
  </si>
  <si>
    <t>9월 13일</t>
    <phoneticPr fontId="4" type="noConversion"/>
  </si>
  <si>
    <t>9월 14일</t>
    <phoneticPr fontId="4" type="noConversion"/>
  </si>
  <si>
    <t>9월 15일</t>
  </si>
  <si>
    <t>9월 16일</t>
  </si>
  <si>
    <t>9월 17일</t>
  </si>
  <si>
    <t>9월 18일</t>
  </si>
  <si>
    <t>9월 19일</t>
    <phoneticPr fontId="4" type="noConversion"/>
  </si>
  <si>
    <t>9월 20일</t>
    <phoneticPr fontId="4" type="noConversion"/>
  </si>
  <si>
    <t>9월 21일</t>
    <phoneticPr fontId="4" type="noConversion"/>
  </si>
  <si>
    <t>9월 22일</t>
  </si>
  <si>
    <t>9월 23일</t>
  </si>
  <si>
    <t>9월 24일</t>
  </si>
  <si>
    <t>9월 25일</t>
  </si>
  <si>
    <t>9월 26일</t>
  </si>
  <si>
    <t>9월 27일</t>
  </si>
  <si>
    <t>9월 28일</t>
    <phoneticPr fontId="4" type="noConversion"/>
  </si>
  <si>
    <t>9월 29일</t>
  </si>
  <si>
    <t>9월 30일</t>
  </si>
  <si>
    <t>가족통장</t>
    <phoneticPr fontId="4" type="noConversion"/>
  </si>
  <si>
    <t>HQ통장</t>
    <phoneticPr fontId="4" type="noConversion"/>
  </si>
  <si>
    <t>13회차</t>
    <phoneticPr fontId="4" type="noConversion"/>
  </si>
  <si>
    <t>무선충전기</t>
    <phoneticPr fontId="4" type="noConversion"/>
  </si>
  <si>
    <t>멀티탭</t>
    <phoneticPr fontId="4" type="noConversion"/>
  </si>
  <si>
    <t>침구청소기</t>
    <phoneticPr fontId="4" type="noConversion"/>
  </si>
  <si>
    <t>침구류</t>
    <phoneticPr fontId="4" type="noConversion"/>
  </si>
  <si>
    <t>샥즈 최종</t>
  </si>
  <si>
    <t>샥즈 할인</t>
  </si>
  <si>
    <t>3월 실구매(4월지출예정)</t>
  </si>
  <si>
    <t>월급 후 정산</t>
  </si>
  <si>
    <t>정산</t>
  </si>
  <si>
    <t>인터넷 페이백</t>
  </si>
  <si>
    <t>잔액 입금</t>
  </si>
  <si>
    <t>여행정산</t>
  </si>
  <si>
    <t>버팀목 이자</t>
  </si>
  <si>
    <t>현대카드</t>
  </si>
  <si>
    <t>하나카드</t>
  </si>
  <si>
    <t>이사정산</t>
  </si>
  <si>
    <t>국민카드</t>
  </si>
  <si>
    <t>이체 정산</t>
  </si>
  <si>
    <t>롯데카드</t>
  </si>
  <si>
    <t>4월기후동행</t>
  </si>
  <si>
    <t>KB카드</t>
  </si>
  <si>
    <t>잔액입금</t>
  </si>
  <si>
    <t>우리카드</t>
  </si>
  <si>
    <t>신한카드</t>
  </si>
  <si>
    <t>비씨카드</t>
  </si>
  <si>
    <t>6월기후동행</t>
  </si>
  <si>
    <t>5월기후동행</t>
  </si>
  <si>
    <t>BC카드</t>
  </si>
  <si>
    <t>7월 K패스</t>
  </si>
  <si>
    <t>6월 버스비</t>
  </si>
  <si>
    <t>5월 버스비</t>
  </si>
  <si>
    <t>4월K패스</t>
  </si>
  <si>
    <t>임시보관
(HEAD)</t>
  </si>
  <si>
    <t>CMA이자</t>
  </si>
  <si>
    <t>예탹금 이용료</t>
  </si>
  <si>
    <t>금융</t>
  </si>
  <si>
    <t>어버이날</t>
  </si>
  <si>
    <t>반액 납부</t>
  </si>
  <si>
    <t>브링미커피</t>
  </si>
  <si>
    <t>밥플러스</t>
  </si>
  <si>
    <t>승훈 정산</t>
  </si>
  <si>
    <t>식탁 설치</t>
  </si>
  <si>
    <t>숨고이사잔금</t>
  </si>
  <si>
    <t>숨고청소잔금</t>
  </si>
  <si>
    <t>티브로드</t>
  </si>
  <si>
    <t>점심정산입금</t>
  </si>
  <si>
    <t>눙커피</t>
  </si>
  <si>
    <t>막국수</t>
  </si>
  <si>
    <t>점심</t>
  </si>
  <si>
    <t>공금 입금</t>
  </si>
  <si>
    <t>로마니 예약금</t>
  </si>
  <si>
    <t>농담곰</t>
  </si>
  <si>
    <t>숨고 예약비</t>
  </si>
  <si>
    <t>티머니 충전</t>
  </si>
  <si>
    <t>서준이형 약속</t>
  </si>
  <si>
    <t>샥즈이어폰</t>
  </si>
  <si>
    <t>침대설치</t>
  </si>
  <si>
    <t>마우스패드</t>
  </si>
  <si>
    <t>커튼</t>
  </si>
  <si>
    <t>두부사랑</t>
  </si>
  <si>
    <t>어린이날 용돈</t>
  </si>
  <si>
    <t>잔액 정산</t>
    <phoneticPr fontId="4" type="noConversion"/>
  </si>
  <si>
    <t>숙소 바베큐</t>
    <phoneticPr fontId="4" type="noConversion"/>
  </si>
  <si>
    <t>출자금</t>
    <phoneticPr fontId="4" type="noConversion"/>
  </si>
  <si>
    <t>샴푸</t>
    <phoneticPr fontId="4" type="noConversion"/>
  </si>
  <si>
    <t>여행 정산</t>
    <phoneticPr fontId="4" type="noConversion"/>
  </si>
  <si>
    <t>여행비 사용</t>
    <phoneticPr fontId="4" type="noConversion"/>
  </si>
  <si>
    <t>여행비사용이전</t>
    <phoneticPr fontId="4" type="noConversion"/>
  </si>
  <si>
    <t>약속 정산비 이전</t>
    <phoneticPr fontId="4" type="noConversion"/>
  </si>
  <si>
    <t>카드값지출처리</t>
    <phoneticPr fontId="4" type="noConversion"/>
  </si>
  <si>
    <t>가계부정리</t>
    <phoneticPr fontId="4" type="noConversion"/>
  </si>
  <si>
    <t>생활비 이전</t>
    <phoneticPr fontId="4" type="noConversion"/>
  </si>
  <si>
    <t>8월사용분(전달)</t>
    <phoneticPr fontId="4" type="noConversion"/>
  </si>
  <si>
    <t>K패스 원금</t>
    <phoneticPr fontId="4" type="noConversion"/>
  </si>
  <si>
    <t>보증보험료</t>
    <phoneticPr fontId="4" type="noConversion"/>
  </si>
  <si>
    <t>9월 대출이자</t>
    <phoneticPr fontId="4" type="noConversion"/>
  </si>
  <si>
    <t>미래에셋 이자</t>
    <phoneticPr fontId="4" type="noConversion"/>
  </si>
  <si>
    <t>막내 생일선물</t>
    <phoneticPr fontId="4" type="noConversion"/>
  </si>
  <si>
    <t>막내 생일</t>
    <phoneticPr fontId="4" type="noConversion"/>
  </si>
  <si>
    <t>아버지 생신지출</t>
    <phoneticPr fontId="4" type="noConversion"/>
  </si>
  <si>
    <t>9월 월급후 정산</t>
    <phoneticPr fontId="4" type="noConversion"/>
  </si>
  <si>
    <t>입금</t>
    <phoneticPr fontId="4" type="noConversion"/>
  </si>
  <si>
    <t>상환비 입금</t>
    <phoneticPr fontId="4" type="noConversion"/>
  </si>
  <si>
    <t>경조사비 입금</t>
    <phoneticPr fontId="4" type="noConversion"/>
  </si>
  <si>
    <t>여행비 입금</t>
    <phoneticPr fontId="4" type="noConversion"/>
  </si>
  <si>
    <t>ChatGPT</t>
    <phoneticPr fontId="4" type="noConversion"/>
  </si>
  <si>
    <t>이체</t>
    <phoneticPr fontId="4" type="noConversion"/>
  </si>
  <si>
    <t>명절비 이체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</si>
</sst>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77" formatCode="mm\/dd"/>
    <numFmt numFmtId="178" formatCode="m&quot;월&quot;\ d&quot;일&quot;"/>
    <numFmt numFmtId="179" formatCode="#,##0_ "/>
    <numFmt numFmtId="180" formatCode="0.0%"/>
  </numFmts>
  <fonts count="3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B050"/>
      <name val="맑은 고딕"/>
      <family val="2"/>
      <charset val="129"/>
      <scheme val="minor"/>
    </font>
    <font>
      <b/>
      <sz val="12"/>
      <color rgb="FF00B050"/>
      <name val="맑은 고딕"/>
      <family val="3"/>
      <charset val="129"/>
      <scheme val="minor"/>
    </font>
    <font>
      <sz val="12"/>
      <color rgb="FF00B050"/>
      <name val="맑은 고딕"/>
      <family val="2"/>
      <charset val="129"/>
      <scheme val="minor"/>
    </font>
    <font>
      <b/>
      <sz val="12"/>
      <color rgb="FF0070C0"/>
      <name val="맑은 고딕"/>
      <family val="2"/>
      <charset val="129"/>
      <scheme val="minor"/>
    </font>
    <font>
      <sz val="12"/>
      <color rgb="FF0070C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2"/>
      <name val="맑은 고딕"/>
      <family val="3"/>
      <charset val="129"/>
    </font>
    <font>
      <sz val="12"/>
      <color theme="1"/>
      <name val="Calibri"/>
      <family val="2"/>
      <charset val="1"/>
    </font>
    <font>
      <sz val="12"/>
      <color theme="0"/>
      <name val="맑은 고딕"/>
      <family val="3"/>
      <charset val="129"/>
    </font>
    <font>
      <sz val="12"/>
      <color theme="1"/>
      <name val="Malgun Gothic"/>
      <family val="3"/>
      <charset val="129"/>
    </font>
    <font>
      <sz val="12"/>
      <color rgb="FF002060"/>
      <name val="맑은 고딕"/>
      <family val="2"/>
      <charset val="129"/>
      <scheme val="minor"/>
    </font>
    <font>
      <b/>
      <sz val="12"/>
      <color rgb="FF00B0F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  <font>
      <sz val="12"/>
      <color rgb="FF0070C0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theme="1"/>
      <name val="Calibri"/>
      <family val="2"/>
      <charset val="129"/>
    </font>
    <font>
      <sz val="11"/>
      <color theme="1"/>
      <name val="맑은 고딕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0D1A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1" fontId="17" fillId="0" borderId="0" applyBorder="0" applyAlignment="0" applyProtection="0"/>
    <xf numFmtId="0" fontId="18" fillId="0" borderId="0"/>
    <xf numFmtId="0" fontId="30" fillId="0" borderId="0"/>
  </cellStyleXfs>
  <cellXfs count="275">
    <xf numFmtId="0" fontId="0" fillId="0" borderId="0" xfId="0">
      <alignment vertical="center"/>
    </xf>
    <xf numFmtId="176" fontId="0" fillId="0" borderId="0" xfId="1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0" xfId="1" applyFont="1" applyAlignment="1">
      <alignment horizontal="center" vertical="center"/>
    </xf>
    <xf numFmtId="176" fontId="0" fillId="0" borderId="1" xfId="1" applyFont="1" applyBorder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3" xfId="1" applyFont="1" applyBorder="1">
      <alignment vertical="center"/>
    </xf>
    <xf numFmtId="176" fontId="0" fillId="0" borderId="5" xfId="1" applyFont="1" applyBorder="1">
      <alignment vertical="center"/>
    </xf>
    <xf numFmtId="0" fontId="0" fillId="0" borderId="6" xfId="0" applyBorder="1">
      <alignment vertical="center"/>
    </xf>
    <xf numFmtId="176" fontId="0" fillId="0" borderId="7" xfId="1" applyFont="1" applyBorder="1">
      <alignment vertical="center"/>
    </xf>
    <xf numFmtId="0" fontId="0" fillId="0" borderId="8" xfId="0" applyBorder="1">
      <alignment vertical="center"/>
    </xf>
    <xf numFmtId="176" fontId="0" fillId="0" borderId="0" xfId="1" applyFont="1" applyAlignment="1">
      <alignment horizontal="right" vertical="center"/>
    </xf>
    <xf numFmtId="176" fontId="3" fillId="0" borderId="0" xfId="1" applyFont="1">
      <alignment vertical="center"/>
    </xf>
    <xf numFmtId="176" fontId="3" fillId="0" borderId="9" xfId="1" applyFont="1" applyBorder="1">
      <alignment vertical="center"/>
    </xf>
    <xf numFmtId="176" fontId="0" fillId="0" borderId="10" xfId="1" applyFont="1" applyBorder="1">
      <alignment vertical="center"/>
    </xf>
    <xf numFmtId="176" fontId="0" fillId="0" borderId="10" xfId="1" applyFont="1" applyBorder="1" applyAlignment="1">
      <alignment horizontal="center" vertical="center"/>
    </xf>
    <xf numFmtId="0" fontId="0" fillId="0" borderId="11" xfId="0" applyBorder="1">
      <alignment vertical="center"/>
    </xf>
    <xf numFmtId="176" fontId="0" fillId="0" borderId="12" xfId="1" applyFont="1" applyBorder="1">
      <alignment vertical="center"/>
    </xf>
    <xf numFmtId="176" fontId="0" fillId="0" borderId="13" xfId="1" applyFont="1" applyBorder="1">
      <alignment vertical="center"/>
    </xf>
    <xf numFmtId="0" fontId="0" fillId="0" borderId="14" xfId="0" applyBorder="1">
      <alignment vertical="center"/>
    </xf>
    <xf numFmtId="176" fontId="0" fillId="0" borderId="15" xfId="1" applyFont="1" applyBorder="1">
      <alignment vertical="center"/>
    </xf>
    <xf numFmtId="176" fontId="0" fillId="0" borderId="16" xfId="1" applyFont="1" applyBorder="1">
      <alignment vertical="center"/>
    </xf>
    <xf numFmtId="176" fontId="0" fillId="0" borderId="16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3" fillId="0" borderId="9" xfId="1" applyFont="1" applyBorder="1" applyAlignment="1">
      <alignment horizontal="center" vertical="center"/>
    </xf>
    <xf numFmtId="176" fontId="3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12" xfId="1" applyFont="1" applyBorder="1" applyAlignment="1">
      <alignment horizontal="center" vertical="center"/>
    </xf>
    <xf numFmtId="176" fontId="0" fillId="2" borderId="13" xfId="1" applyFont="1" applyFill="1" applyBorder="1" applyAlignment="1">
      <alignment horizontal="center" vertical="center"/>
    </xf>
    <xf numFmtId="176" fontId="0" fillId="0" borderId="13" xfId="1" applyFont="1" applyBorder="1" applyAlignment="1">
      <alignment horizontal="center" vertical="center"/>
    </xf>
    <xf numFmtId="176" fontId="0" fillId="0" borderId="14" xfId="1" applyFont="1" applyBorder="1" applyAlignment="1">
      <alignment horizontal="center" vertical="center"/>
    </xf>
    <xf numFmtId="176" fontId="0" fillId="0" borderId="15" xfId="1" applyFont="1" applyBorder="1" applyAlignment="1">
      <alignment horizontal="center" vertical="center"/>
    </xf>
    <xf numFmtId="176" fontId="0" fillId="0" borderId="17" xfId="1" applyFont="1" applyBorder="1" applyAlignment="1">
      <alignment horizontal="center" vertical="center"/>
    </xf>
    <xf numFmtId="176" fontId="0" fillId="0" borderId="9" xfId="1" applyFont="1" applyBorder="1">
      <alignment vertical="center"/>
    </xf>
    <xf numFmtId="176" fontId="0" fillId="0" borderId="11" xfId="1" applyFont="1" applyBorder="1" applyAlignment="1">
      <alignment horizontal="center" vertical="center"/>
    </xf>
    <xf numFmtId="176" fontId="0" fillId="0" borderId="9" xfId="1" applyFont="1" applyBorder="1" applyAlignment="1">
      <alignment horizontal="center" vertical="center"/>
    </xf>
    <xf numFmtId="176" fontId="0" fillId="8" borderId="13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3" xfId="1" applyFont="1" applyBorder="1" applyAlignment="1">
      <alignment horizontal="left"/>
    </xf>
    <xf numFmtId="0" fontId="0" fillId="0" borderId="13" xfId="0" applyBorder="1" applyAlignment="1">
      <alignment horizontal="center"/>
    </xf>
    <xf numFmtId="176" fontId="0" fillId="0" borderId="18" xfId="1" applyFont="1" applyBorder="1" applyAlignment="1">
      <alignment horizontal="center" vertical="center"/>
    </xf>
    <xf numFmtId="176" fontId="0" fillId="8" borderId="19" xfId="0" applyNumberFormat="1" applyFill="1" applyBorder="1">
      <alignment vertical="center"/>
    </xf>
    <xf numFmtId="176" fontId="0" fillId="0" borderId="20" xfId="1" applyFont="1" applyBorder="1" applyAlignment="1">
      <alignment horizontal="center" vertical="center"/>
    </xf>
    <xf numFmtId="0" fontId="0" fillId="2" borderId="13" xfId="0" applyFill="1" applyBorder="1">
      <alignment vertical="center"/>
    </xf>
    <xf numFmtId="176" fontId="0" fillId="8" borderId="21" xfId="0" applyNumberForma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9" borderId="13" xfId="0" applyFill="1" applyBorder="1">
      <alignment vertical="center"/>
    </xf>
    <xf numFmtId="0" fontId="0" fillId="0" borderId="13" xfId="0" applyBorder="1">
      <alignment vertical="center"/>
    </xf>
    <xf numFmtId="0" fontId="0" fillId="0" borderId="18" xfId="0" applyBorder="1">
      <alignment vertical="center"/>
    </xf>
    <xf numFmtId="176" fontId="0" fillId="8" borderId="22" xfId="0" applyNumberFormat="1" applyFill="1" applyBorder="1">
      <alignment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0" fillId="3" borderId="13" xfId="0" applyFill="1" applyBorder="1">
      <alignment vertical="center"/>
    </xf>
    <xf numFmtId="176" fontId="0" fillId="0" borderId="23" xfId="0" applyNumberFormat="1" applyBorder="1">
      <alignment vertical="center"/>
    </xf>
    <xf numFmtId="176" fontId="0" fillId="0" borderId="20" xfId="1" applyFont="1" applyFill="1" applyBorder="1" applyAlignment="1">
      <alignment horizontal="center" vertical="center"/>
    </xf>
    <xf numFmtId="176" fontId="0" fillId="0" borderId="13" xfId="1" applyFont="1" applyFill="1" applyBorder="1" applyAlignment="1">
      <alignment horizontal="center" vertical="center"/>
    </xf>
    <xf numFmtId="176" fontId="0" fillId="0" borderId="18" xfId="1" applyFon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8" xfId="0" applyNumberFormat="1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0" xfId="0" applyFont="1">
      <alignment vertical="center"/>
    </xf>
    <xf numFmtId="37" fontId="0" fillId="0" borderId="13" xfId="0" applyNumberFormat="1" applyBorder="1" applyAlignment="1">
      <alignment horizontal="right" vertical="center"/>
    </xf>
    <xf numFmtId="0" fontId="8" fillId="0" borderId="9" xfId="0" applyFont="1" applyBorder="1">
      <alignment vertical="center"/>
    </xf>
    <xf numFmtId="176" fontId="3" fillId="0" borderId="10" xfId="0" applyNumberFormat="1" applyFont="1" applyBorder="1">
      <alignment vertical="center"/>
    </xf>
    <xf numFmtId="176" fontId="3" fillId="0" borderId="11" xfId="0" applyNumberFormat="1" applyFont="1" applyBorder="1">
      <alignment vertical="center"/>
    </xf>
    <xf numFmtId="38" fontId="0" fillId="0" borderId="13" xfId="1" applyNumberFormat="1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1" fontId="0" fillId="0" borderId="13" xfId="0" applyNumberFormat="1" applyBorder="1">
      <alignment vertical="center"/>
    </xf>
    <xf numFmtId="0" fontId="0" fillId="0" borderId="13" xfId="0" applyBorder="1" applyAlignment="1">
      <alignment horizontal="left" vertical="center"/>
    </xf>
    <xf numFmtId="0" fontId="8" fillId="0" borderId="13" xfId="0" applyFont="1" applyBorder="1">
      <alignment vertical="center"/>
    </xf>
    <xf numFmtId="176" fontId="7" fillId="0" borderId="13" xfId="0" applyNumberFormat="1" applyFont="1" applyBorder="1">
      <alignment vertical="center"/>
    </xf>
    <xf numFmtId="176" fontId="0" fillId="0" borderId="0" xfId="1" applyFont="1" applyBorder="1">
      <alignment vertical="center"/>
    </xf>
    <xf numFmtId="0" fontId="0" fillId="0" borderId="13" xfId="1" applyNumberFormat="1" applyFont="1" applyBorder="1" applyAlignment="1">
      <alignment vertical="center"/>
    </xf>
    <xf numFmtId="176" fontId="10" fillId="0" borderId="0" xfId="1" applyFont="1" applyBorder="1">
      <alignment vertical="center"/>
    </xf>
    <xf numFmtId="176" fontId="3" fillId="0" borderId="13" xfId="1" applyFont="1" applyFill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0" fillId="0" borderId="26" xfId="0" applyBorder="1">
      <alignment vertical="center"/>
    </xf>
    <xf numFmtId="176" fontId="0" fillId="0" borderId="13" xfId="1" applyFont="1" applyFill="1" applyBorder="1">
      <alignment vertical="center"/>
    </xf>
    <xf numFmtId="179" fontId="11" fillId="0" borderId="13" xfId="0" applyNumberFormat="1" applyFont="1" applyBorder="1" applyAlignment="1">
      <alignment horizontal="right" vertical="center"/>
    </xf>
    <xf numFmtId="179" fontId="0" fillId="0" borderId="13" xfId="0" applyNumberFormat="1" applyBorder="1" applyAlignment="1">
      <alignment horizontal="right" vertical="center"/>
    </xf>
    <xf numFmtId="180" fontId="0" fillId="0" borderId="13" xfId="0" applyNumberFormat="1" applyBorder="1" applyAlignment="1">
      <alignment horizontal="center" vertical="center"/>
    </xf>
    <xf numFmtId="179" fontId="9" fillId="0" borderId="13" xfId="1" applyNumberFormat="1" applyFont="1" applyBorder="1" applyAlignment="1">
      <alignment horizontal="center" vertical="center"/>
    </xf>
    <xf numFmtId="3" fontId="7" fillId="8" borderId="13" xfId="1" applyNumberFormat="1" applyFont="1" applyFill="1" applyBorder="1" applyAlignment="1">
      <alignment horizontal="right" vertical="center"/>
    </xf>
    <xf numFmtId="176" fontId="7" fillId="3" borderId="13" xfId="0" applyNumberFormat="1" applyFont="1" applyFill="1" applyBorder="1">
      <alignment vertical="center"/>
    </xf>
    <xf numFmtId="0" fontId="7" fillId="0" borderId="13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179" fontId="7" fillId="8" borderId="13" xfId="0" applyNumberFormat="1" applyFont="1" applyFill="1" applyBorder="1" applyAlignment="1">
      <alignment horizontal="right" vertical="center"/>
    </xf>
    <xf numFmtId="176" fontId="12" fillId="0" borderId="13" xfId="1" applyFont="1" applyBorder="1">
      <alignment vertical="center"/>
    </xf>
    <xf numFmtId="178" fontId="2" fillId="0" borderId="13" xfId="0" applyNumberFormat="1" applyFont="1" applyBorder="1" applyAlignment="1">
      <alignment horizontal="center" vertical="center"/>
    </xf>
    <xf numFmtId="178" fontId="12" fillId="0" borderId="13" xfId="0" applyNumberFormat="1" applyFont="1" applyBorder="1" applyAlignment="1">
      <alignment horizontal="center" vertical="center"/>
    </xf>
    <xf numFmtId="176" fontId="0" fillId="0" borderId="23" xfId="1" applyFont="1" applyBorder="1">
      <alignment vertical="center"/>
    </xf>
    <xf numFmtId="179" fontId="7" fillId="8" borderId="20" xfId="0" applyNumberFormat="1" applyFont="1" applyFill="1" applyBorder="1" applyAlignment="1">
      <alignment horizontal="right" vertical="center"/>
    </xf>
    <xf numFmtId="178" fontId="13" fillId="0" borderId="13" xfId="0" applyNumberFormat="1" applyFont="1" applyBorder="1" applyAlignment="1">
      <alignment horizontal="center" vertical="center"/>
    </xf>
    <xf numFmtId="176" fontId="7" fillId="8" borderId="20" xfId="0" applyNumberFormat="1" applyFont="1" applyFill="1" applyBorder="1" applyAlignment="1">
      <alignment horizontal="center" vertical="center"/>
    </xf>
    <xf numFmtId="176" fontId="7" fillId="8" borderId="13" xfId="0" applyNumberFormat="1" applyFont="1" applyFill="1" applyBorder="1" applyAlignment="1">
      <alignment horizontal="center" vertical="center"/>
    </xf>
    <xf numFmtId="178" fontId="0" fillId="0" borderId="13" xfId="0" applyNumberFormat="1" applyBorder="1">
      <alignment vertical="center"/>
    </xf>
    <xf numFmtId="176" fontId="1" fillId="0" borderId="13" xfId="1" applyFont="1" applyBorder="1">
      <alignment vertical="center"/>
    </xf>
    <xf numFmtId="0" fontId="3" fillId="0" borderId="0" xfId="0" applyFont="1">
      <alignment vertical="center"/>
    </xf>
    <xf numFmtId="176" fontId="12" fillId="0" borderId="13" xfId="1" applyFont="1" applyFill="1" applyBorder="1">
      <alignment vertical="center"/>
    </xf>
    <xf numFmtId="176" fontId="3" fillId="4" borderId="13" xfId="1" applyFont="1" applyFill="1" applyBorder="1" applyAlignment="1">
      <alignment horizontal="center" vertical="center"/>
    </xf>
    <xf numFmtId="176" fontId="3" fillId="7" borderId="13" xfId="1" applyFont="1" applyFill="1" applyBorder="1" applyAlignment="1">
      <alignment horizontal="center" vertical="center"/>
    </xf>
    <xf numFmtId="176" fontId="3" fillId="8" borderId="13" xfId="1" applyFont="1" applyFill="1" applyBorder="1" applyAlignment="1">
      <alignment horizontal="center" vertical="center"/>
    </xf>
    <xf numFmtId="176" fontId="3" fillId="0" borderId="13" xfId="1" applyFont="1" applyBorder="1" applyAlignment="1">
      <alignment horizontal="center" vertical="center"/>
    </xf>
    <xf numFmtId="176" fontId="3" fillId="0" borderId="13" xfId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23" xfId="1" applyFont="1" applyBorder="1" applyAlignment="1">
      <alignment horizontal="center" vertical="center"/>
    </xf>
    <xf numFmtId="176" fontId="3" fillId="0" borderId="23" xfId="1" applyFont="1" applyBorder="1" applyAlignment="1">
      <alignment horizontal="center" vertical="center"/>
    </xf>
    <xf numFmtId="176" fontId="3" fillId="0" borderId="28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3" fillId="0" borderId="12" xfId="1" applyFont="1" applyBorder="1" applyAlignment="1">
      <alignment horizontal="center" vertical="center"/>
    </xf>
    <xf numFmtId="176" fontId="3" fillId="11" borderId="13" xfId="1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176" fontId="10" fillId="0" borderId="13" xfId="1" applyFont="1" applyBorder="1">
      <alignment vertical="center"/>
    </xf>
    <xf numFmtId="176" fontId="2" fillId="0" borderId="13" xfId="1" applyFont="1" applyBorder="1">
      <alignment vertical="center"/>
    </xf>
    <xf numFmtId="178" fontId="14" fillId="0" borderId="13" xfId="0" applyNumberFormat="1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176" fontId="8" fillId="0" borderId="10" xfId="1" applyFont="1" applyBorder="1" applyAlignment="1">
      <alignment horizontal="center" vertical="center"/>
    </xf>
    <xf numFmtId="176" fontId="10" fillId="0" borderId="13" xfId="1" applyFont="1" applyFill="1" applyBorder="1">
      <alignment vertical="center"/>
    </xf>
    <xf numFmtId="176" fontId="7" fillId="8" borderId="13" xfId="1" applyFont="1" applyFill="1" applyBorder="1" applyAlignment="1">
      <alignment horizontal="center" vertical="center"/>
    </xf>
    <xf numFmtId="176" fontId="7" fillId="4" borderId="13" xfId="1" applyFont="1" applyFill="1" applyBorder="1" applyAlignment="1">
      <alignment horizontal="center" vertical="center"/>
    </xf>
    <xf numFmtId="176" fontId="7" fillId="6" borderId="13" xfId="1" applyFont="1" applyFill="1" applyBorder="1" applyAlignment="1">
      <alignment horizontal="center" vertical="center"/>
    </xf>
    <xf numFmtId="176" fontId="15" fillId="0" borderId="10" xfId="1" applyFont="1" applyBorder="1" applyAlignment="1">
      <alignment horizontal="center" vertical="center"/>
    </xf>
    <xf numFmtId="176" fontId="15" fillId="0" borderId="23" xfId="1" applyFont="1" applyBorder="1" applyAlignment="1">
      <alignment horizontal="center" vertical="center"/>
    </xf>
    <xf numFmtId="176" fontId="16" fillId="0" borderId="13" xfId="1" applyFont="1" applyFill="1" applyBorder="1" applyAlignment="1">
      <alignment horizontal="center" vertical="center"/>
    </xf>
    <xf numFmtId="176" fontId="3" fillId="6" borderId="13" xfId="1" applyFont="1" applyFill="1" applyBorder="1" applyAlignment="1">
      <alignment horizontal="center" vertical="center"/>
    </xf>
    <xf numFmtId="176" fontId="0" fillId="8" borderId="13" xfId="1" applyFont="1" applyFill="1" applyBorder="1">
      <alignment vertical="center"/>
    </xf>
    <xf numFmtId="176" fontId="7" fillId="0" borderId="13" xfId="1" applyFont="1" applyBorder="1">
      <alignment vertical="center"/>
    </xf>
    <xf numFmtId="0" fontId="0" fillId="0" borderId="13" xfId="1" applyNumberFormat="1" applyFont="1" applyBorder="1">
      <alignment vertical="center"/>
    </xf>
    <xf numFmtId="176" fontId="7" fillId="0" borderId="13" xfId="1" applyFont="1" applyFill="1" applyBorder="1" applyAlignment="1">
      <alignment horizontal="center" vertical="center"/>
    </xf>
    <xf numFmtId="176" fontId="7" fillId="8" borderId="13" xfId="1" applyFont="1" applyFill="1" applyBorder="1">
      <alignment vertical="center"/>
    </xf>
    <xf numFmtId="176" fontId="7" fillId="3" borderId="13" xfId="1" applyFont="1" applyFill="1" applyBorder="1" applyAlignment="1">
      <alignment horizontal="center" vertical="center"/>
    </xf>
    <xf numFmtId="3" fontId="0" fillId="0" borderId="13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6" fontId="0" fillId="0" borderId="0" xfId="1" applyFont="1" applyBorder="1" applyAlignment="1">
      <alignment horizontal="center" vertical="center"/>
    </xf>
    <xf numFmtId="176" fontId="10" fillId="0" borderId="13" xfId="0" applyNumberFormat="1" applyFont="1" applyBorder="1">
      <alignment vertical="center"/>
    </xf>
    <xf numFmtId="176" fontId="9" fillId="8" borderId="13" xfId="1" applyFont="1" applyFill="1" applyBorder="1">
      <alignment vertical="center"/>
    </xf>
    <xf numFmtId="176" fontId="3" fillId="5" borderId="13" xfId="1" applyFont="1" applyFill="1" applyBorder="1" applyAlignment="1">
      <alignment horizontal="center" vertical="center"/>
    </xf>
    <xf numFmtId="176" fontId="3" fillId="3" borderId="13" xfId="1" applyFont="1" applyFill="1" applyBorder="1" applyAlignment="1">
      <alignment horizontal="center" vertical="center"/>
    </xf>
    <xf numFmtId="176" fontId="3" fillId="0" borderId="13" xfId="1" applyFont="1" applyBorder="1">
      <alignment vertical="center"/>
    </xf>
    <xf numFmtId="3" fontId="0" fillId="0" borderId="0" xfId="0" applyNumberFormat="1">
      <alignment vertical="center"/>
    </xf>
    <xf numFmtId="0" fontId="0" fillId="0" borderId="17" xfId="0" applyBorder="1">
      <alignment vertical="center"/>
    </xf>
    <xf numFmtId="3" fontId="10" fillId="0" borderId="15" xfId="1" applyNumberFormat="1" applyFont="1" applyBorder="1">
      <alignment vertical="center"/>
    </xf>
    <xf numFmtId="3" fontId="12" fillId="0" borderId="12" xfId="1" applyNumberFormat="1" applyFont="1" applyBorder="1">
      <alignment vertical="center"/>
    </xf>
    <xf numFmtId="3" fontId="0" fillId="0" borderId="12" xfId="1" applyNumberFormat="1" applyFont="1" applyBorder="1">
      <alignment vertical="center"/>
    </xf>
    <xf numFmtId="3" fontId="0" fillId="0" borderId="12" xfId="0" applyNumberFormat="1" applyBorder="1">
      <alignment vertical="center"/>
    </xf>
    <xf numFmtId="176" fontId="0" fillId="0" borderId="13" xfId="0" applyNumberFormat="1" applyBorder="1" applyAlignment="1">
      <alignment horizontal="center" vertical="center"/>
    </xf>
    <xf numFmtId="0" fontId="0" fillId="0" borderId="13" xfId="1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3" fontId="0" fillId="0" borderId="20" xfId="0" applyNumberFormat="1" applyBorder="1">
      <alignment vertical="center"/>
    </xf>
    <xf numFmtId="178" fontId="23" fillId="0" borderId="13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5" xfId="0" applyNumberFormat="1" applyBorder="1">
      <alignment vertical="center"/>
    </xf>
    <xf numFmtId="3" fontId="10" fillId="0" borderId="12" xfId="1" applyNumberFormat="1" applyFont="1" applyFill="1" applyBorder="1">
      <alignment vertical="center"/>
    </xf>
    <xf numFmtId="0" fontId="0" fillId="0" borderId="32" xfId="0" applyBorder="1">
      <alignment vertical="center"/>
    </xf>
    <xf numFmtId="3" fontId="12" fillId="0" borderId="33" xfId="1" applyNumberFormat="1" applyFont="1" applyBorder="1">
      <alignment vertical="center"/>
    </xf>
    <xf numFmtId="3" fontId="10" fillId="0" borderId="15" xfId="0" applyNumberFormat="1" applyFont="1" applyBorder="1">
      <alignment vertical="center"/>
    </xf>
    <xf numFmtId="3" fontId="10" fillId="0" borderId="12" xfId="0" applyNumberFormat="1" applyFont="1" applyBorder="1">
      <alignment vertical="center"/>
    </xf>
    <xf numFmtId="3" fontId="12" fillId="0" borderId="12" xfId="0" applyNumberFormat="1" applyFont="1" applyBorder="1">
      <alignment vertical="center"/>
    </xf>
    <xf numFmtId="3" fontId="12" fillId="0" borderId="9" xfId="0" applyNumberFormat="1" applyFont="1" applyBorder="1">
      <alignment vertical="center"/>
    </xf>
    <xf numFmtId="0" fontId="0" fillId="0" borderId="34" xfId="0" applyBorder="1">
      <alignment vertical="center"/>
    </xf>
    <xf numFmtId="3" fontId="0" fillId="0" borderId="9" xfId="0" applyNumberFormat="1" applyBorder="1" applyAlignment="1">
      <alignment horizontal="center" vertical="center"/>
    </xf>
    <xf numFmtId="176" fontId="0" fillId="0" borderId="35" xfId="1" applyFont="1" applyBorder="1" applyAlignment="1">
      <alignment horizontal="center" vertical="center"/>
    </xf>
    <xf numFmtId="176" fontId="24" fillId="0" borderId="13" xfId="1" applyFont="1" applyFill="1" applyBorder="1" applyAlignment="1">
      <alignment horizontal="center" vertical="center"/>
    </xf>
    <xf numFmtId="176" fontId="3" fillId="0" borderId="20" xfId="1" applyFont="1" applyFill="1" applyBorder="1" applyAlignment="1">
      <alignment horizontal="center" vertical="center"/>
    </xf>
    <xf numFmtId="176" fontId="24" fillId="0" borderId="13" xfId="0" applyNumberFormat="1" applyFont="1" applyBorder="1" applyAlignment="1">
      <alignment horizontal="center" vertical="center"/>
    </xf>
    <xf numFmtId="176" fontId="25" fillId="0" borderId="13" xfId="0" applyNumberFormat="1" applyFont="1" applyBorder="1" applyAlignment="1">
      <alignment horizontal="center" vertical="center"/>
    </xf>
    <xf numFmtId="176" fontId="3" fillId="0" borderId="20" xfId="1" applyFont="1" applyBorder="1" applyAlignment="1">
      <alignment horizontal="center" vertical="center"/>
    </xf>
    <xf numFmtId="176" fontId="3" fillId="8" borderId="21" xfId="0" applyNumberFormat="1" applyFont="1" applyFill="1" applyBorder="1">
      <alignment vertical="center"/>
    </xf>
    <xf numFmtId="176" fontId="3" fillId="8" borderId="19" xfId="0" applyNumberFormat="1" applyFont="1" applyFill="1" applyBorder="1">
      <alignment vertical="center"/>
    </xf>
    <xf numFmtId="176" fontId="3" fillId="8" borderId="22" xfId="0" applyNumberFormat="1" applyFont="1" applyFill="1" applyBorder="1">
      <alignment vertical="center"/>
    </xf>
    <xf numFmtId="0" fontId="0" fillId="0" borderId="27" xfId="0" applyBorder="1">
      <alignment vertical="center"/>
    </xf>
    <xf numFmtId="3" fontId="10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176" fontId="2" fillId="0" borderId="13" xfId="1" applyFont="1" applyFill="1" applyBorder="1">
      <alignment vertical="center"/>
    </xf>
    <xf numFmtId="0" fontId="13" fillId="0" borderId="13" xfId="0" applyFont="1" applyBorder="1">
      <alignment vertical="center"/>
    </xf>
    <xf numFmtId="3" fontId="0" fillId="0" borderId="33" xfId="0" applyNumberFormat="1" applyBorder="1">
      <alignment vertical="center"/>
    </xf>
    <xf numFmtId="3" fontId="7" fillId="0" borderId="9" xfId="1" applyNumberFormat="1" applyFont="1" applyBorder="1">
      <alignment vertical="center"/>
    </xf>
    <xf numFmtId="3" fontId="7" fillId="0" borderId="1" xfId="0" applyNumberFormat="1" applyFont="1" applyBorder="1">
      <alignment vertical="center"/>
    </xf>
    <xf numFmtId="3" fontId="0" fillId="0" borderId="28" xfId="0" applyNumberFormat="1" applyBorder="1">
      <alignment vertical="center"/>
    </xf>
    <xf numFmtId="0" fontId="30" fillId="0" borderId="0" xfId="4"/>
    <xf numFmtId="0" fontId="1" fillId="0" borderId="0" xfId="4" applyFont="1"/>
    <xf numFmtId="41" fontId="20" fillId="0" borderId="0" xfId="4" applyNumberFormat="1" applyFont="1"/>
    <xf numFmtId="0" fontId="29" fillId="0" borderId="0" xfId="4" applyFont="1"/>
    <xf numFmtId="3" fontId="1" fillId="0" borderId="13" xfId="4" applyNumberFormat="1" applyFont="1" applyBorder="1" applyAlignment="1">
      <alignment horizontal="center" vertical="center"/>
    </xf>
    <xf numFmtId="41" fontId="1" fillId="0" borderId="13" xfId="4" applyNumberFormat="1" applyFont="1" applyBorder="1" applyAlignment="1">
      <alignment horizontal="center"/>
    </xf>
    <xf numFmtId="41" fontId="1" fillId="0" borderId="13" xfId="4" applyNumberFormat="1" applyFont="1" applyBorder="1" applyAlignment="1">
      <alignment vertical="center"/>
    </xf>
    <xf numFmtId="0" fontId="26" fillId="0" borderId="0" xfId="4" applyFont="1"/>
    <xf numFmtId="41" fontId="1" fillId="0" borderId="0" xfId="4" applyNumberFormat="1" applyFont="1" applyAlignment="1">
      <alignment horizontal="left"/>
    </xf>
    <xf numFmtId="0" fontId="20" fillId="0" borderId="0" xfId="4" applyFont="1" applyAlignment="1">
      <alignment horizontal="center"/>
    </xf>
    <xf numFmtId="41" fontId="1" fillId="0" borderId="0" xfId="4" applyNumberFormat="1" applyFont="1" applyAlignment="1">
      <alignment vertical="center"/>
    </xf>
    <xf numFmtId="41" fontId="28" fillId="0" borderId="0" xfId="4" applyNumberFormat="1" applyFont="1"/>
    <xf numFmtId="0" fontId="20" fillId="0" borderId="0" xfId="4" applyFont="1" applyAlignment="1">
      <alignment horizontal="center" vertical="center"/>
    </xf>
    <xf numFmtId="0" fontId="20" fillId="0" borderId="0" xfId="4" applyFont="1" applyAlignment="1">
      <alignment vertical="center"/>
    </xf>
    <xf numFmtId="176" fontId="27" fillId="0" borderId="0" xfId="4" applyNumberFormat="1" applyFont="1"/>
    <xf numFmtId="0" fontId="20" fillId="0" borderId="0" xfId="4" applyFont="1"/>
    <xf numFmtId="0" fontId="22" fillId="0" borderId="0" xfId="4" applyFont="1"/>
    <xf numFmtId="41" fontId="21" fillId="19" borderId="13" xfId="4" applyNumberFormat="1" applyFont="1" applyFill="1" applyBorder="1"/>
    <xf numFmtId="41" fontId="21" fillId="19" borderId="14" xfId="4" applyNumberFormat="1" applyFont="1" applyFill="1" applyBorder="1" applyAlignment="1">
      <alignment horizontal="center" vertical="center"/>
    </xf>
    <xf numFmtId="41" fontId="19" fillId="0" borderId="12" xfId="4" applyNumberFormat="1" applyFont="1" applyBorder="1" applyAlignment="1">
      <alignment horizontal="center" vertical="center"/>
    </xf>
    <xf numFmtId="41" fontId="19" fillId="0" borderId="13" xfId="4" applyNumberFormat="1" applyFont="1" applyBorder="1" applyAlignment="1">
      <alignment horizontal="center" vertical="center"/>
    </xf>
    <xf numFmtId="41" fontId="19" fillId="0" borderId="13" xfId="4" applyNumberFormat="1" applyFont="1" applyBorder="1"/>
    <xf numFmtId="41" fontId="19" fillId="0" borderId="12" xfId="4" applyNumberFormat="1" applyFont="1" applyBorder="1"/>
    <xf numFmtId="41" fontId="21" fillId="20" borderId="13" xfId="4" applyNumberFormat="1" applyFont="1" applyFill="1" applyBorder="1"/>
    <xf numFmtId="41" fontId="21" fillId="20" borderId="14" xfId="4" applyNumberFormat="1" applyFont="1" applyFill="1" applyBorder="1" applyAlignment="1">
      <alignment horizontal="center" vertical="center"/>
    </xf>
    <xf numFmtId="41" fontId="21" fillId="18" borderId="13" xfId="4" applyNumberFormat="1" applyFont="1" applyFill="1" applyBorder="1"/>
    <xf numFmtId="41" fontId="21" fillId="18" borderId="14" xfId="4" applyNumberFormat="1" applyFont="1" applyFill="1" applyBorder="1" applyAlignment="1">
      <alignment horizontal="center" vertical="center"/>
    </xf>
    <xf numFmtId="41" fontId="19" fillId="16" borderId="13" xfId="4" applyNumberFormat="1" applyFont="1" applyFill="1" applyBorder="1"/>
    <xf numFmtId="41" fontId="19" fillId="16" borderId="14" xfId="4" applyNumberFormat="1" applyFont="1" applyFill="1" applyBorder="1" applyAlignment="1">
      <alignment horizontal="center" vertical="center"/>
    </xf>
    <xf numFmtId="41" fontId="19" fillId="15" borderId="13" xfId="4" applyNumberFormat="1" applyFont="1" applyFill="1" applyBorder="1"/>
    <xf numFmtId="41" fontId="19" fillId="15" borderId="14" xfId="4" applyNumberFormat="1" applyFont="1" applyFill="1" applyBorder="1" applyAlignment="1">
      <alignment horizontal="center" vertical="center"/>
    </xf>
    <xf numFmtId="41" fontId="19" fillId="17" borderId="13" xfId="4" applyNumberFormat="1" applyFont="1" applyFill="1" applyBorder="1"/>
    <xf numFmtId="41" fontId="19" fillId="17" borderId="14" xfId="4" applyNumberFormat="1" applyFont="1" applyFill="1" applyBorder="1" applyAlignment="1">
      <alignment horizontal="center" vertical="center"/>
    </xf>
    <xf numFmtId="41" fontId="19" fillId="14" borderId="13" xfId="4" applyNumberFormat="1" applyFont="1" applyFill="1" applyBorder="1"/>
    <xf numFmtId="41" fontId="19" fillId="14" borderId="14" xfId="4" applyNumberFormat="1" applyFont="1" applyFill="1" applyBorder="1" applyAlignment="1">
      <alignment horizontal="center" vertical="center"/>
    </xf>
    <xf numFmtId="41" fontId="19" fillId="13" borderId="13" xfId="4" applyNumberFormat="1" applyFont="1" applyFill="1" applyBorder="1"/>
    <xf numFmtId="41" fontId="19" fillId="13" borderId="14" xfId="4" applyNumberFormat="1" applyFont="1" applyFill="1" applyBorder="1" applyAlignment="1">
      <alignment horizontal="center" vertical="center"/>
    </xf>
    <xf numFmtId="41" fontId="19" fillId="12" borderId="13" xfId="4" applyNumberFormat="1" applyFont="1" applyFill="1" applyBorder="1"/>
    <xf numFmtId="41" fontId="19" fillId="12" borderId="14" xfId="4" applyNumberFormat="1" applyFont="1" applyFill="1" applyBorder="1" applyAlignment="1">
      <alignment horizontal="center" vertical="center"/>
    </xf>
    <xf numFmtId="41" fontId="19" fillId="0" borderId="16" xfId="4" applyNumberFormat="1" applyFont="1" applyBorder="1"/>
    <xf numFmtId="41" fontId="19" fillId="0" borderId="17" xfId="4" applyNumberFormat="1" applyFont="1" applyBorder="1"/>
    <xf numFmtId="0" fontId="0" fillId="0" borderId="24" xfId="0" applyBorder="1">
      <alignment vertical="center"/>
    </xf>
    <xf numFmtId="0" fontId="7" fillId="0" borderId="39" xfId="0" applyFont="1" applyBorder="1" applyAlignment="1">
      <alignment horizontal="center" vertical="center"/>
    </xf>
    <xf numFmtId="14" fontId="7" fillId="0" borderId="39" xfId="0" applyNumberFormat="1" applyFont="1" applyBorder="1" applyAlignment="1">
      <alignment horizontal="center" vertical="center"/>
    </xf>
    <xf numFmtId="176" fontId="3" fillId="2" borderId="13" xfId="1" applyFont="1" applyFill="1" applyBorder="1" applyAlignment="1">
      <alignment horizontal="center" vertical="center"/>
    </xf>
    <xf numFmtId="41" fontId="21" fillId="20" borderId="13" xfId="4" applyNumberFormat="1" applyFont="1" applyFill="1" applyBorder="1" applyAlignment="1">
      <alignment horizontal="center" vertical="center"/>
    </xf>
    <xf numFmtId="0" fontId="30" fillId="0" borderId="36" xfId="4" applyBorder="1"/>
    <xf numFmtId="0" fontId="30" fillId="0" borderId="18" xfId="4" applyBorder="1"/>
    <xf numFmtId="41" fontId="19" fillId="16" borderId="13" xfId="4" applyNumberFormat="1" applyFont="1" applyFill="1" applyBorder="1" applyAlignment="1">
      <alignment horizontal="center" vertical="center"/>
    </xf>
    <xf numFmtId="41" fontId="19" fillId="0" borderId="16" xfId="4" applyNumberFormat="1" applyFont="1" applyBorder="1" applyAlignment="1">
      <alignment horizontal="center" vertical="center"/>
    </xf>
    <xf numFmtId="0" fontId="30" fillId="0" borderId="38" xfId="4" applyBorder="1"/>
    <xf numFmtId="0" fontId="30" fillId="0" borderId="37" xfId="4" applyBorder="1"/>
    <xf numFmtId="41" fontId="21" fillId="19" borderId="13" xfId="4" applyNumberFormat="1" applyFont="1" applyFill="1" applyBorder="1" applyAlignment="1">
      <alignment horizontal="center" vertical="center"/>
    </xf>
    <xf numFmtId="41" fontId="19" fillId="12" borderId="13" xfId="4" applyNumberFormat="1" applyFont="1" applyFill="1" applyBorder="1" applyAlignment="1">
      <alignment horizontal="center" vertical="center"/>
    </xf>
    <xf numFmtId="41" fontId="19" fillId="17" borderId="13" xfId="4" applyNumberFormat="1" applyFont="1" applyFill="1" applyBorder="1" applyAlignment="1">
      <alignment horizontal="center" vertical="center"/>
    </xf>
    <xf numFmtId="41" fontId="19" fillId="14" borderId="13" xfId="4" applyNumberFormat="1" applyFont="1" applyFill="1" applyBorder="1" applyAlignment="1">
      <alignment horizontal="center" vertical="center"/>
    </xf>
    <xf numFmtId="41" fontId="19" fillId="15" borderId="13" xfId="4" applyNumberFormat="1" applyFont="1" applyFill="1" applyBorder="1" applyAlignment="1">
      <alignment horizontal="center" vertical="center"/>
    </xf>
    <xf numFmtId="41" fontId="19" fillId="13" borderId="13" xfId="4" applyNumberFormat="1" applyFont="1" applyFill="1" applyBorder="1" applyAlignment="1">
      <alignment horizontal="center" vertical="center"/>
    </xf>
    <xf numFmtId="41" fontId="19" fillId="0" borderId="9" xfId="4" applyNumberFormat="1" applyFont="1" applyBorder="1" applyAlignment="1">
      <alignment horizontal="center" vertical="center"/>
    </xf>
    <xf numFmtId="0" fontId="30" fillId="0" borderId="30" xfId="4" applyBorder="1"/>
    <xf numFmtId="0" fontId="30" fillId="0" borderId="31" xfId="4" applyBorder="1"/>
    <xf numFmtId="41" fontId="21" fillId="18" borderId="13" xfId="4" applyNumberFormat="1" applyFont="1" applyFill="1" applyBorder="1" applyAlignment="1">
      <alignment horizontal="center" vertical="center"/>
    </xf>
    <xf numFmtId="41" fontId="19" fillId="0" borderId="10" xfId="4" applyNumberFormat="1" applyFont="1" applyBorder="1" applyAlignment="1">
      <alignment horizontal="center" vertical="center"/>
    </xf>
    <xf numFmtId="0" fontId="30" fillId="0" borderId="29" xfId="4" applyBorder="1"/>
    <xf numFmtId="41" fontId="19" fillId="0" borderId="10" xfId="4" applyNumberFormat="1" applyFont="1" applyBorder="1" applyAlignment="1">
      <alignment horizontal="right" vertical="center"/>
    </xf>
    <xf numFmtId="41" fontId="21" fillId="18" borderId="14" xfId="4" applyNumberFormat="1" applyFont="1" applyFill="1" applyBorder="1" applyAlignment="1">
      <alignment horizontal="center" vertical="center"/>
    </xf>
    <xf numFmtId="0" fontId="30" fillId="0" borderId="27" xfId="4" applyBorder="1"/>
    <xf numFmtId="0" fontId="30" fillId="0" borderId="35" xfId="4" applyBorder="1"/>
    <xf numFmtId="41" fontId="21" fillId="19" borderId="14" xfId="4" applyNumberFormat="1" applyFont="1" applyFill="1" applyBorder="1" applyAlignment="1">
      <alignment horizontal="center" vertical="center" wrapText="1"/>
    </xf>
    <xf numFmtId="41" fontId="19" fillId="0" borderId="11" xfId="4" applyNumberFormat="1" applyFont="1" applyBorder="1" applyAlignment="1">
      <alignment horizontal="center" vertical="center"/>
    </xf>
    <xf numFmtId="41" fontId="21" fillId="20" borderId="14" xfId="4" applyNumberFormat="1" applyFont="1" applyFill="1" applyBorder="1" applyAlignment="1">
      <alignment horizontal="center" vertical="center"/>
    </xf>
    <xf numFmtId="41" fontId="19" fillId="13" borderId="14" xfId="4" applyNumberFormat="1" applyFont="1" applyFill="1" applyBorder="1" applyAlignment="1">
      <alignment horizontal="center" vertical="center"/>
    </xf>
    <xf numFmtId="41" fontId="19" fillId="16" borderId="14" xfId="4" applyNumberFormat="1" applyFont="1" applyFill="1" applyBorder="1" applyAlignment="1">
      <alignment horizontal="center" vertical="center"/>
    </xf>
    <xf numFmtId="41" fontId="19" fillId="14" borderId="14" xfId="4" applyNumberFormat="1" applyFont="1" applyFill="1" applyBorder="1" applyAlignment="1">
      <alignment horizontal="center" vertical="center"/>
    </xf>
    <xf numFmtId="41" fontId="19" fillId="12" borderId="14" xfId="4" applyNumberFormat="1" applyFont="1" applyFill="1" applyBorder="1" applyAlignment="1">
      <alignment horizontal="center" vertical="center"/>
    </xf>
    <xf numFmtId="41" fontId="19" fillId="17" borderId="14" xfId="4" applyNumberFormat="1" applyFont="1" applyFill="1" applyBorder="1" applyAlignment="1">
      <alignment horizontal="center" vertical="center"/>
    </xf>
    <xf numFmtId="41" fontId="19" fillId="15" borderId="14" xfId="4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6" xfId="0" applyBorder="1" applyAlignment="1">
      <alignment horizontal="left" vertical="center"/>
    </xf>
  </cellXfs>
  <cellStyles count="5">
    <cellStyle name="쉼표 [0]" xfId="1" builtinId="6"/>
    <cellStyle name="쉼표 [0] 2" xfId="2" xr:uid="{0EAB0E99-2882-4EA5-806F-AD8BAFC886BA}"/>
    <cellStyle name="표준" xfId="0" builtinId="0"/>
    <cellStyle name="표준 2" xfId="3" xr:uid="{BF3FDCF2-916C-434C-9E06-A77B756C21DD}"/>
    <cellStyle name="표준 3" xfId="4" xr:uid="{4635CF82-99C6-1F40-9590-2F4D23E11057}"/>
  </cellStyles>
  <dxfs count="1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tte\Desktop\&#45936;&#51060;&#53552;_&#53580;&#53944;&#47532;&#49828;%20&#44228;&#49328;&#44592;_One.xlsm" TargetMode="External"/><Relationship Id="rId1" Type="http://schemas.openxmlformats.org/officeDocument/2006/relationships/externalLinkPath" Target="file:///C:\Users\Motte\Desktop\&#45936;&#51060;&#53552;_&#53580;&#53944;&#47532;&#49828;%20&#44228;&#49328;&#44592;_O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월"/>
      <sheetName val="12월 "/>
      <sheetName val="1월"/>
      <sheetName val="2월"/>
      <sheetName val="3월"/>
      <sheetName val="4월"/>
      <sheetName val="5월"/>
      <sheetName val="6월"/>
      <sheetName val="7월"/>
      <sheetName val="8월"/>
      <sheetName val="9월"/>
    </sheetNames>
    <sheetDataSet>
      <sheetData sheetId="0" refreshError="1"/>
      <sheetData sheetId="1" refreshError="1"/>
      <sheetData sheetId="2">
        <row r="12">
          <cell r="W12">
            <v>1157000</v>
          </cell>
        </row>
      </sheetData>
      <sheetData sheetId="3">
        <row r="12">
          <cell r="W12">
            <v>975000</v>
          </cell>
        </row>
      </sheetData>
      <sheetData sheetId="4">
        <row r="12">
          <cell r="W12">
            <v>926000</v>
          </cell>
        </row>
      </sheetData>
      <sheetData sheetId="5">
        <row r="12">
          <cell r="W12">
            <v>1047000</v>
          </cell>
        </row>
      </sheetData>
      <sheetData sheetId="6">
        <row r="12">
          <cell r="W12">
            <v>1197000</v>
          </cell>
        </row>
      </sheetData>
      <sheetData sheetId="7">
        <row r="12">
          <cell r="W12">
            <v>1481000</v>
          </cell>
        </row>
      </sheetData>
      <sheetData sheetId="8">
        <row r="12">
          <cell r="W12">
            <v>1519000</v>
          </cell>
        </row>
      </sheetData>
      <sheetData sheetId="9">
        <row r="12">
          <cell r="W12">
            <v>2354000</v>
          </cell>
        </row>
      </sheetData>
      <sheetData sheetId="10">
        <row r="12">
          <cell r="W12">
            <v>1691000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최민영" id="{D6AE078B-1570-C540-9AA9-88BF4D64D5B1}" userId="S::jasper.c16s@changwon.ac.kr::493bc902-21c3-47a2-b617-179103bd05b6" providerId="AD"/>
  <person displayName="최민영" id="{67917BFC-D258-044D-9180-73CD482CE7F5}" userId="S::snuwing@staff.changwon.ac.kr::9a09edf0-b976-4fdc-a867-680d5c5cff8a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6-01-04T03:56:12.76" personId="{D6AE078B-1570-C540-9AA9-88BF4D64D5B1}" id="{C9105AB8-35FE-6D41-8DEF-ABC2241D6D9F}">
    <text>명절상여 60 중 40 (예비),20(상환)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3" dT="2026-09-13T13:56:25.86" personId="{67917BFC-D258-044D-9180-73CD482CE7F5}" id="{645B3BC5-73E8-8D4B-89F8-54AE16476892}">
    <text>기존 보증보험료 일할계산</text>
  </threadedComment>
  <threadedComment ref="AG7" dT="2026-09-05T11:35:56.49" personId="{67917BFC-D258-044D-9180-73CD482CE7F5}" id="{6898A1B3-EEB2-914D-B591-87F088909F03}">
    <text>축의금 항목 누락으로 인한 이전</text>
  </threadedComment>
  <threadedComment ref="AH7" dT="2026-09-27T12:55:08.12" personId="{67917BFC-D258-044D-9180-73CD482CE7F5}" id="{3D38CD8F-4C87-604C-A2C5-7AAAB2D3404F}">
    <text>카드대금 제외 주식, 희망두배, 주택청약, 약속정산</text>
  </threadedComment>
  <threadedComment ref="AG11" dT="2026-09-13T13:55:31.65" personId="{67917BFC-D258-044D-9180-73CD482CE7F5}" id="{D93B6A8E-3A21-4C43-9BE1-3B32862FAA8C}">
    <text>8월 K패스원금 부족분 지출</text>
  </threadedComment>
  <threadedComment ref="AG53" dT="2026-09-05T11:26:27.82" personId="{67917BFC-D258-044D-9180-73CD482CE7F5}" id="{BBCC7998-88E9-D541-BACE-BEEE7853BA1C}">
    <text>봉서 10만원</text>
  </threadedComment>
  <threadedComment ref="AG58" dT="2026-09-27T12:58:00.13" personId="{67917BFC-D258-044D-9180-73CD482CE7F5}" id="{DF5EA779-C0EC-3541-BD3E-6E5973CE741A}">
    <text>아빠, 봉서</text>
  </threadedComment>
  <threadedComment ref="AG103" dT="2026-09-05T10:59:52.18" personId="{67917BFC-D258-044D-9180-73CD482CE7F5}" id="{5492C6B2-5FC0-BF46-9ED1-FDD803C9DC87}">
    <text>미래에셋 점검으로 인한 카드값 가계부에서 먼저 지출완료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30" dT="2026-01-25T13:53:13.01" personId="{D6AE078B-1570-C540-9AA9-88BF4D64D5B1}" id="{7818EA0E-7E09-2649-865F-D1B08B0A76F8}">
    <text>12월돈으로 미리 입금, 1월 여행비만 입금함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9" dT="2026-03-25T13:47:27.91" personId="{D6AE078B-1570-C540-9AA9-88BF4D64D5B1}" id="{46AA4112-CE60-B547-9331-727590671BE1}">
    <text>마라탕 환급 적용</text>
  </threadedComment>
  <threadedComment ref="G29" dT="2026-03-25T13:47:39.44" personId="{D6AE078B-1570-C540-9AA9-88BF4D64D5B1}" id="{25C5F257-95CD-014E-8BDB-4AD85DE0C375}">
    <text>보험비 환급 적용</text>
  </threadedComment>
  <threadedComment ref="H29" dT="2026-03-31T11:56:16.22" personId="{D6AE078B-1570-C540-9AA9-88BF4D64D5B1}" id="{4E1CC0E8-DF24-994A-B2A3-2BC5E4D15276}">
    <text>진미식당 정산</text>
  </threadedComment>
  <threadedComment ref="C34" dT="2026-03-01T10:43:01.69" personId="{D6AE078B-1570-C540-9AA9-88BF4D64D5B1}" id="{E4EF9726-5835-3248-AFAA-833F5A6BA1DD}">
    <text>할인환급황목을 그 주차에 맞는 계산으로 기록할것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Q5" dT="2026-04-24T04:58:13.45" personId="{D6AE078B-1570-C540-9AA9-88BF4D64D5B1}" id="{19896571-5F3D-44E8-84CA-7156986DCA9E}">
    <text>LOCA 365 할인</text>
  </threadedComment>
  <threadedComment ref="Q6" dT="2026-04-24T05:03:02.01" personId="{D6AE078B-1570-C540-9AA9-88BF4D64D5B1}" id="{EAB4B5E2-3D6E-4B1A-8D4D-480156D60DF8}">
    <text>LOCA 365 10%할인</text>
  </threadedComment>
  <threadedComment ref="Q7" dT="2026-04-24T04:58:13.45" personId="{D6AE078B-1570-C540-9AA9-88BF4D64D5B1}" id="{77D1E8A2-817E-404A-BAEF-E829746A2F1E}">
    <text>LOCA 365 할인</text>
  </threadedComment>
  <threadedComment ref="Q8" dT="2026-04-24T04:58:13.45" personId="{D6AE078B-1570-C540-9AA9-88BF4D64D5B1}" id="{AD53A279-C7F1-4D47-8AE7-4A5CA4D8D204}">
    <text>LOCA 365 할인</text>
  </threadedComment>
  <threadedComment ref="Q10" dT="2026-05-01T06:54:28.43" personId="{D6AE078B-1570-C540-9AA9-88BF4D64D5B1}" id="{7884AA93-29CC-9A4E-9120-F6D3171547A0}">
    <text>하나카드 할인</text>
  </threadedComment>
  <threadedComment ref="Q12" dT="2026-04-04T15:07:04.12" personId="{D6AE078B-1570-C540-9AA9-88BF4D64D5B1}" id="{BDA8F5B2-8656-FB48-B153-EAB3EF7569DA}">
    <text>3월 나사카 할인 놓침 ㅜ 5월 결제금액 미적용예정</text>
  </threadedComment>
  <threadedComment ref="Q12" dT="2026-04-04T15:07:10.88" personId="{D6AE078B-1570-C540-9AA9-88BF4D64D5B1}" id="{46D61D5A-0EF4-5D4A-93BA-48D9B273B79D}" parentId="{BDA8F5B2-8656-FB48-B153-EAB3EF7569DA}">
    <text>해당 할인은 2월에 적용</text>
  </threadedComment>
  <threadedComment ref="Q19" dT="2026-04-24T05:00:41.67" personId="{D6AE078B-1570-C540-9AA9-88BF4D64D5B1}" id="{AB9C107F-03A4-4A97-B824-62CD3F0AA91B}">
    <text>Toss페이 포인트할인</text>
  </threadedComment>
  <threadedComment ref="Q20" dT="2026-04-04T15:22:33.65" personId="{D6AE078B-1570-C540-9AA9-88BF4D64D5B1}" id="{C806630E-CF9E-0340-9930-7E04D3957CA2}">
    <text>네이버포인트 1044 + 하나카드할인 1928 (50%)</text>
  </threadedComment>
  <threadedComment ref="C34" dT="2026-03-01T10:43:01.69" personId="{D6AE078B-1570-C540-9AA9-88BF4D64D5B1}" id="{A36121C4-719A-7341-9255-F01E1E5B88F6}">
    <text>할인환급황목을 그 주차에 맞는 계산으로 기록할것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Q10" dT="2026-05-01T06:54:28.43" personId="{D6AE078B-1570-C540-9AA9-88BF4D64D5B1}" id="{C765BD20-BCA0-7847-BB9E-A6C84CFBBD12}">
    <text>하나카드 할인</text>
  </threadedComment>
  <threadedComment ref="P12" dT="2026-05-09T06:32:09.78" personId="{67917BFC-D258-044D-9180-73CD482CE7F5}" id="{D2C5C867-EAC8-E340-9161-0A0E4C8CD6A4}">
    <text xml:space="preserve">3월 나라사랑 실적x -&gt; 4월 이용 -&gt; 5월 청구시 혜택 미반영
</text>
  </threadedComment>
  <threadedComment ref="P18" dT="2026-05-09T06:45:08.94" personId="{67917BFC-D258-044D-9180-73CD482CE7F5}" id="{03248201-FFDC-3542-98CC-F8D6E58CE787}">
    <text>1,2,3월 T멤버쉽 쿠폰 사용 끝(이번달부터 할인쿠폰적용)</text>
  </threadedComment>
  <threadedComment ref="Q19" dT="2026-04-24T05:00:41.67" personId="{D6AE078B-1570-C540-9AA9-88BF4D64D5B1}" id="{948EA47F-181C-334B-B700-10B64C6CF20D}">
    <text>Toss페이 포인트할인</text>
  </threadedComment>
  <threadedComment ref="Q20" dT="2026-05-05T04:43:06.10" personId="{D6AE078B-1570-C540-9AA9-88BF4D64D5B1}" id="{ED5E54FA-B53F-D241-88B3-AF9E0E0370AE}">
    <text>네이버페이포인트 3482+ 하나카드 709 할인</text>
  </threadedComment>
  <threadedComment ref="Q21" dT="2026-05-05T04:41:54.48" personId="{D6AE078B-1570-C540-9AA9-88BF4D64D5B1}" id="{54E3CB10-A606-B44C-8161-BB114E56DAA1}">
    <text>하나카드 할인</text>
  </threadedComment>
  <threadedComment ref="C34" dT="2026-03-01T10:43:01.69" personId="{D6AE078B-1570-C540-9AA9-88BF4D64D5B1}" id="{C0ADBB54-41F3-F040-8FC7-0FC46CE74FA3}">
    <text>할인환급황목을 그 주차에 맞는 계산으로 기록할것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Q20" dT="2026-06-07T07:04:05.43" personId="{67917BFC-D258-044D-9180-73CD482CE7F5}" id="{77F27866-E221-1548-A777-638F35042FBE}">
    <text>하나할인 2446 + 네이버포인트 8</text>
  </threadedComment>
  <threadedComment ref="Q21" dT="2026-05-05T04:41:54.48" personId="{D6AE078B-1570-C540-9AA9-88BF4D64D5B1}" id="{5AF382D1-1EF4-DA45-A382-6FB0455560E9}">
    <text>하나카드 할인</text>
  </threadedComment>
  <threadedComment ref="C34" dT="2026-03-01T10:43:01.69" personId="{D6AE078B-1570-C540-9AA9-88BF4D64D5B1}" id="{301A7C27-29C5-3E45-B150-3565991E4DA5}">
    <text>할인환급황목을 그 주차에 맞는 계산으로 기록할것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5" dT="2026-07-26T11:19:41.08" personId="{67917BFC-D258-044D-9180-73CD482CE7F5}" id="{2DC4CE39-78E3-5A42-9E5E-1811AEB17AA0}">
    <text>6,7월 보증금 환불시에 환급완료</text>
  </threadedComment>
  <threadedComment ref="L6" dT="2026-07-26T11:14:14.51" personId="{67917BFC-D258-044D-9180-73CD482CE7F5}" id="{2D7A0FE6-4006-654D-926C-B24E6E6A83AF}">
    <text>다음달 서울도시가스 변경</text>
  </threadedComment>
  <threadedComment ref="L10" dT="2026-07-26T11:04:26.18" personId="{67917BFC-D258-044D-9180-73CD482CE7F5}" id="{0E26CB16-8E4B-4640-979A-0280FFD12A41}">
    <text>다음달 엘지헬로비전 으로 변경</text>
  </threadedComment>
  <threadedComment ref="P12" dT="2026-07-05T09:59:19.46" personId="{67917BFC-D258-044D-9180-73CD482CE7F5}" id="{7A45DBA8-5B11-8443-9DF5-6AA3ABA75F47}">
    <text>기후동행 환급금 30000 제외</text>
  </threadedComment>
  <threadedComment ref="P12" dT="2026-07-12T14:08:40.03" personId="{67917BFC-D258-044D-9180-73CD482CE7F5}" id="{3ED7A231-EB74-6D4E-981E-C0EAE4D522FE}" parentId="{7A45DBA8-5B11-8443-9DF5-6AA3ABA75F47}">
    <text>8월부터는 K패스신한으로 청구(모바일티머니선불 임시사용)</text>
  </threadedComment>
  <threadedComment ref="C34" dT="2026-03-01T10:43:01.69" personId="{D6AE078B-1570-C540-9AA9-88BF4D64D5B1}" id="{97D0736E-13F2-6648-95CF-A9EE162FC3AF}">
    <text>할인환급황목을 그 주차에 맞는 계산으로 기록할것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P10" dT="2026-08-06T07:58:46.25" personId="{67917BFC-D258-044D-9180-73CD482CE7F5}" id="{B5EB7711-7DA4-4543-9B70-20B418543F7F}">
    <text>기본 사용료 10838 + 설치 33000 - 기본할인 4360 = 6478 + 33000 (일할계산)</text>
  </threadedComment>
  <threadedComment ref="P10" dT="2026-08-06T08:23:48.50" personId="{67917BFC-D258-044D-9180-73CD482CE7F5}" id="{4EB6AAB7-9FFB-49E1-B6B2-F656D4F962F8}" parentId="{B5EB7711-7DA4-4543-9B70-20B418543F7F}">
    <text xml:space="preserve">요금제명 : 광랜 WIFI+
최대속도 : 다운로드 기준 100Mbps(대칭형)
요금 : 27,610원
약정기간 : 2026-07-24 ~ 2029-07-23(3년 약정)
</text>
  </threadedComment>
  <threadedComment ref="P11" dT="2026-08-06T08:07:24.99" personId="{67917BFC-D258-044D-9180-73CD482CE7F5}" id="{B52CAA44-7A14-4AF2-8C6C-F2E7436D9BBF}">
    <text>7월 K패스 사용 금액중 모바일티머니를 제외한, 신한K패스체크카드 후불 원금(7월), 3 영업일</text>
  </threadedComment>
  <threadedComment ref="P20" dT="2026-08-02T10:27:09.67" personId="{67917BFC-D258-044D-9180-73CD482CE7F5}" id="{13093AA3-C2F5-6B4C-858A-EF9F561A89A9}">
    <text>7월 네이버현대카드 실적충족</text>
  </threadedComment>
  <threadedComment ref="C34" dT="2026-03-01T10:43:01.69" personId="{D6AE078B-1570-C540-9AA9-88BF4D64D5B1}" id="{68200F8A-7C70-F844-9E82-F6F55F12D177}">
    <text>할인환급황목을 그 주차에 맞는 계산으로 기록할것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C34" dT="2026-03-01T10:43:01.69" personId="{D6AE078B-1570-C540-9AA9-88BF4D64D5B1}" id="{4D360F1F-4B42-AA40-9ADC-B35BCA778A80}">
    <text>할인환급황목을 그 주차에 맞는 계산으로 기록할것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5513-EF77-1F45-A646-A451463A75DF}">
  <sheetPr codeName="Sheet1"/>
  <dimension ref="A2:S121"/>
  <sheetViews>
    <sheetView topLeftCell="B1" workbookViewId="0">
      <selection activeCell="H17" sqref="H17"/>
    </sheetView>
  </sheetViews>
  <sheetFormatPr defaultColWidth="10.81640625" defaultRowHeight="19.2"/>
  <cols>
    <col min="4" max="4" width="12.26953125" style="2" bestFit="1" customWidth="1"/>
    <col min="5" max="9" width="10.81640625" style="1"/>
    <col min="15" max="15" width="9.54296875" bestFit="1" customWidth="1"/>
  </cols>
  <sheetData>
    <row r="2" spans="1:19" ht="19.8" thickBot="1">
      <c r="A2" s="5"/>
      <c r="B2" s="5"/>
      <c r="C2" s="5" t="s">
        <v>53</v>
      </c>
      <c r="D2" s="5" t="s">
        <v>52</v>
      </c>
      <c r="E2" s="5" t="s">
        <v>51</v>
      </c>
      <c r="F2" s="5" t="s">
        <v>50</v>
      </c>
      <c r="G2" s="5" t="s">
        <v>49</v>
      </c>
      <c r="H2" s="5" t="s">
        <v>48</v>
      </c>
      <c r="I2" s="5" t="s">
        <v>47</v>
      </c>
      <c r="J2" s="5" t="s">
        <v>46</v>
      </c>
      <c r="K2" s="5" t="s">
        <v>45</v>
      </c>
      <c r="L2" s="5" t="s">
        <v>44</v>
      </c>
      <c r="M2" s="5" t="s">
        <v>43</v>
      </c>
      <c r="N2" s="5" t="s">
        <v>42</v>
      </c>
      <c r="O2" s="5" t="s">
        <v>41</v>
      </c>
      <c r="P2" s="5" t="s">
        <v>40</v>
      </c>
    </row>
    <row r="3" spans="1:19">
      <c r="A3" s="5" t="s">
        <v>39</v>
      </c>
      <c r="B3" s="36" t="s">
        <v>38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 t="s">
        <v>37</v>
      </c>
      <c r="N3" s="26"/>
      <c r="O3" s="35"/>
      <c r="R3" s="41" t="s">
        <v>36</v>
      </c>
      <c r="S3" s="41" t="s">
        <v>35</v>
      </c>
    </row>
    <row r="4" spans="1:19">
      <c r="A4" s="5"/>
      <c r="B4" s="34"/>
      <c r="C4" s="33"/>
      <c r="D4" s="33"/>
      <c r="E4" s="33"/>
      <c r="F4" s="33"/>
      <c r="G4" s="33"/>
      <c r="H4" s="33"/>
      <c r="I4" s="116">
        <v>50000</v>
      </c>
      <c r="J4" s="116">
        <v>50000</v>
      </c>
      <c r="K4" s="116">
        <v>50000</v>
      </c>
      <c r="L4" s="116">
        <v>50000</v>
      </c>
      <c r="M4" s="33"/>
      <c r="N4" s="33"/>
      <c r="O4" s="31"/>
      <c r="R4" s="43" t="s">
        <v>34</v>
      </c>
      <c r="S4" s="42">
        <v>410000</v>
      </c>
    </row>
    <row r="5" spans="1:19" ht="19.8" thickBot="1">
      <c r="A5" s="5"/>
      <c r="B5" s="38"/>
      <c r="C5" s="19"/>
      <c r="D5" s="19"/>
      <c r="E5" s="19"/>
      <c r="F5" s="19"/>
      <c r="G5" s="19"/>
      <c r="H5" s="19"/>
      <c r="I5" s="19"/>
      <c r="J5" s="19"/>
      <c r="K5" s="19"/>
      <c r="L5" s="19"/>
      <c r="M5" s="29">
        <f>SUM(C4:L4)</f>
        <v>200000</v>
      </c>
      <c r="N5" s="19"/>
      <c r="O5" s="39"/>
      <c r="R5" s="43" t="s">
        <v>33</v>
      </c>
      <c r="S5" s="42">
        <v>300000</v>
      </c>
    </row>
    <row r="6" spans="1:19">
      <c r="A6" s="5"/>
      <c r="B6" s="36" t="s">
        <v>32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 t="s">
        <v>31</v>
      </c>
      <c r="O6" s="35"/>
      <c r="R6" s="43" t="s">
        <v>30</v>
      </c>
      <c r="S6" s="42">
        <v>600000</v>
      </c>
    </row>
    <row r="7" spans="1:19">
      <c r="A7" s="5"/>
      <c r="B7" s="34"/>
      <c r="C7" s="33"/>
      <c r="D7" s="33"/>
      <c r="E7" s="33"/>
      <c r="F7" s="33"/>
      <c r="G7" s="33"/>
      <c r="H7" s="116">
        <v>50000</v>
      </c>
      <c r="I7" s="33"/>
      <c r="J7" s="33"/>
      <c r="K7" s="33"/>
      <c r="L7" s="33"/>
      <c r="M7" s="33">
        <v>50000</v>
      </c>
      <c r="N7" s="33"/>
      <c r="O7" s="31"/>
      <c r="R7" s="43" t="s">
        <v>29</v>
      </c>
      <c r="S7" s="42">
        <v>200000</v>
      </c>
    </row>
    <row r="8" spans="1:19" ht="19.8" thickBot="1">
      <c r="A8" s="5"/>
      <c r="B8" s="3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9">
        <v>100000</v>
      </c>
      <c r="O8" s="39"/>
      <c r="R8" s="41" t="s">
        <v>28</v>
      </c>
      <c r="S8" s="22">
        <f>SUM(S4:S7)</f>
        <v>1510000</v>
      </c>
    </row>
    <row r="9" spans="1:19">
      <c r="A9" s="5"/>
      <c r="B9" s="36" t="s">
        <v>27</v>
      </c>
      <c r="C9" s="26"/>
      <c r="D9" s="26" t="s">
        <v>26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35"/>
    </row>
    <row r="10" spans="1:19">
      <c r="A10" s="5"/>
      <c r="B10" s="34"/>
      <c r="C10" s="116">
        <v>50000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1"/>
    </row>
    <row r="11" spans="1:19" ht="19.8" thickBot="1">
      <c r="A11" s="5"/>
      <c r="B11" s="38"/>
      <c r="C11" s="19"/>
      <c r="D11" s="135">
        <v>50000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39"/>
    </row>
    <row r="12" spans="1:19">
      <c r="A12" s="5"/>
      <c r="B12" s="36" t="s">
        <v>25</v>
      </c>
      <c r="C12" s="26"/>
      <c r="D12" s="26"/>
      <c r="E12" s="26"/>
      <c r="F12" s="26"/>
      <c r="G12" s="26"/>
      <c r="H12" s="26"/>
      <c r="I12" s="26"/>
      <c r="J12" s="26"/>
      <c r="K12" s="26"/>
      <c r="L12" s="26" t="s">
        <v>24</v>
      </c>
      <c r="M12" s="26"/>
      <c r="N12" s="26"/>
      <c r="O12" s="35"/>
    </row>
    <row r="13" spans="1:19">
      <c r="A13" s="5"/>
      <c r="B13" s="34"/>
      <c r="C13" s="33"/>
      <c r="D13" s="33"/>
      <c r="E13" s="33"/>
      <c r="F13" s="33"/>
      <c r="G13" s="33"/>
      <c r="H13" s="33"/>
      <c r="I13" s="33"/>
      <c r="J13" s="33"/>
      <c r="K13" s="116">
        <v>50000</v>
      </c>
      <c r="L13" s="33"/>
      <c r="M13" s="33"/>
      <c r="N13" s="33"/>
      <c r="O13" s="31"/>
    </row>
    <row r="14" spans="1:19" ht="19.8" thickBot="1">
      <c r="A14" s="5"/>
      <c r="B14" s="38"/>
      <c r="C14" s="19"/>
      <c r="D14" s="19"/>
      <c r="E14" s="19"/>
      <c r="F14" s="19"/>
      <c r="G14" s="19"/>
      <c r="H14" s="19"/>
      <c r="I14" s="19"/>
      <c r="J14" s="19"/>
      <c r="K14" s="19"/>
      <c r="L14" s="135">
        <v>50000</v>
      </c>
      <c r="M14" s="19"/>
      <c r="N14" s="19"/>
      <c r="O14" s="39"/>
    </row>
    <row r="15" spans="1:19">
      <c r="A15" s="5" t="s">
        <v>23</v>
      </c>
      <c r="B15" s="36"/>
      <c r="C15" s="26"/>
      <c r="D15" s="26"/>
      <c r="E15" s="26"/>
      <c r="F15" s="26"/>
      <c r="G15" s="26" t="s">
        <v>22</v>
      </c>
      <c r="H15" s="26"/>
      <c r="I15" s="26"/>
      <c r="J15" s="26"/>
      <c r="K15" s="26"/>
      <c r="L15" s="26"/>
      <c r="M15" s="26"/>
      <c r="N15" s="26" t="s">
        <v>21</v>
      </c>
      <c r="O15" s="35"/>
    </row>
    <row r="16" spans="1:19">
      <c r="A16" s="5"/>
      <c r="B16" s="34"/>
      <c r="C16" s="115">
        <v>100000</v>
      </c>
      <c r="D16" s="115">
        <v>100000</v>
      </c>
      <c r="E16" s="132">
        <v>100000</v>
      </c>
      <c r="F16" s="115">
        <v>50000</v>
      </c>
      <c r="G16" s="33"/>
      <c r="H16" s="33"/>
      <c r="I16" s="33"/>
      <c r="J16" s="115">
        <v>100000</v>
      </c>
      <c r="K16" s="115">
        <v>100000</v>
      </c>
      <c r="L16" s="115">
        <v>100000</v>
      </c>
      <c r="M16" s="40">
        <v>50000</v>
      </c>
      <c r="N16" s="33"/>
      <c r="O16" s="31"/>
    </row>
    <row r="17" spans="1:16" ht="19.8" thickBot="1">
      <c r="A17" s="5"/>
      <c r="B17" s="38"/>
      <c r="C17" s="19"/>
      <c r="D17" s="19"/>
      <c r="E17" s="19"/>
      <c r="F17" s="19"/>
      <c r="G17" s="29">
        <v>350000</v>
      </c>
      <c r="H17" s="19"/>
      <c r="I17" s="19"/>
      <c r="J17" s="19"/>
      <c r="K17" s="19"/>
      <c r="L17" s="19"/>
      <c r="M17" s="19"/>
      <c r="N17" s="29">
        <v>350000</v>
      </c>
      <c r="O17" s="39"/>
    </row>
    <row r="18" spans="1:16">
      <c r="A18" s="5" t="s">
        <v>20</v>
      </c>
      <c r="B18" s="36"/>
      <c r="C18" s="26"/>
      <c r="D18" s="26"/>
      <c r="E18" s="26" t="s">
        <v>19</v>
      </c>
      <c r="F18" s="26"/>
      <c r="G18" s="26"/>
      <c r="H18" s="26" t="s">
        <v>18</v>
      </c>
      <c r="I18" s="26"/>
      <c r="J18" s="26"/>
      <c r="K18" s="26"/>
      <c r="L18" s="26" t="s">
        <v>17</v>
      </c>
      <c r="M18" s="26"/>
      <c r="N18" s="26"/>
      <c r="O18" s="35"/>
    </row>
    <row r="19" spans="1:16">
      <c r="A19" s="5"/>
      <c r="B19" s="34"/>
      <c r="C19" s="114">
        <v>50000</v>
      </c>
      <c r="D19" s="114">
        <v>50000</v>
      </c>
      <c r="E19" s="134">
        <v>50000</v>
      </c>
      <c r="F19" s="138">
        <v>50000</v>
      </c>
      <c r="G19" s="134">
        <v>100000</v>
      </c>
      <c r="H19" s="150">
        <v>50000</v>
      </c>
      <c r="I19" s="150">
        <v>50000</v>
      </c>
      <c r="J19" s="150">
        <v>100000</v>
      </c>
      <c r="K19" s="150">
        <v>100000</v>
      </c>
      <c r="L19" s="33"/>
      <c r="M19" s="33"/>
      <c r="N19" s="33"/>
      <c r="O19" s="31"/>
    </row>
    <row r="20" spans="1:16" ht="19.8" thickBot="1">
      <c r="A20" s="5"/>
      <c r="B20" s="38"/>
      <c r="C20" s="19"/>
      <c r="D20" s="19"/>
      <c r="E20" s="130">
        <v>100000</v>
      </c>
      <c r="F20" s="19"/>
      <c r="G20" s="19"/>
      <c r="H20" s="29">
        <v>200000</v>
      </c>
      <c r="I20" s="19"/>
      <c r="J20" s="18"/>
      <c r="K20" s="19"/>
      <c r="L20" s="130">
        <v>300000</v>
      </c>
      <c r="M20" s="19"/>
      <c r="N20" s="19"/>
      <c r="O20" s="37"/>
    </row>
    <row r="21" spans="1:16">
      <c r="A21" s="5" t="s">
        <v>16</v>
      </c>
      <c r="B21" s="36"/>
      <c r="C21" s="26"/>
      <c r="D21" s="26"/>
      <c r="E21" s="26"/>
      <c r="F21" s="26"/>
      <c r="G21" s="26" t="s">
        <v>15</v>
      </c>
      <c r="H21" s="26"/>
      <c r="I21" s="26"/>
      <c r="J21" s="26" t="s">
        <v>14</v>
      </c>
      <c r="K21" s="26"/>
      <c r="L21" s="26"/>
      <c r="M21" s="26"/>
      <c r="N21" s="26"/>
      <c r="O21" s="35" t="s">
        <v>13</v>
      </c>
    </row>
    <row r="22" spans="1:16">
      <c r="A22" s="5"/>
      <c r="B22" s="34"/>
      <c r="C22" s="113">
        <v>1000000</v>
      </c>
      <c r="D22" s="113">
        <v>50000</v>
      </c>
      <c r="E22" s="133">
        <v>150000</v>
      </c>
      <c r="F22" s="113">
        <v>100000</v>
      </c>
      <c r="G22" s="144">
        <v>100000</v>
      </c>
      <c r="H22" s="151">
        <v>100000</v>
      </c>
      <c r="I22" s="151">
        <v>100000</v>
      </c>
      <c r="J22" s="33"/>
      <c r="K22" s="33"/>
      <c r="L22" s="237">
        <v>100000</v>
      </c>
      <c r="M22" s="32">
        <v>100000</v>
      </c>
      <c r="N22" s="32">
        <v>100000</v>
      </c>
      <c r="O22" s="31"/>
    </row>
    <row r="23" spans="1:16" ht="19.8" thickBot="1">
      <c r="A23" s="2"/>
      <c r="B23" s="30"/>
      <c r="C23" s="19"/>
      <c r="D23" s="19"/>
      <c r="E23" s="19"/>
      <c r="F23" s="19"/>
      <c r="G23" s="29">
        <v>1300000</v>
      </c>
      <c r="H23" s="19"/>
      <c r="I23" s="19"/>
      <c r="J23" s="135">
        <v>300000</v>
      </c>
      <c r="K23" s="19"/>
      <c r="L23" s="19"/>
      <c r="M23" s="19"/>
      <c r="N23" s="19"/>
      <c r="O23" s="28">
        <v>300000</v>
      </c>
    </row>
    <row r="24" spans="1:16">
      <c r="A24" s="2" t="s">
        <v>2</v>
      </c>
      <c r="B24" s="118"/>
      <c r="C24" s="119"/>
      <c r="D24" s="119" t="s">
        <v>258</v>
      </c>
      <c r="E24" s="119"/>
      <c r="F24" s="119"/>
      <c r="G24" s="120"/>
      <c r="H24" s="119"/>
      <c r="I24" s="119"/>
      <c r="J24" s="120"/>
      <c r="K24" s="119"/>
      <c r="L24" s="119"/>
      <c r="M24" s="119"/>
      <c r="N24" s="119"/>
      <c r="O24" s="121"/>
    </row>
    <row r="25" spans="1:16">
      <c r="A25" s="2"/>
      <c r="B25" s="122"/>
      <c r="C25" s="124">
        <v>100000</v>
      </c>
      <c r="D25" s="124">
        <v>100000</v>
      </c>
      <c r="E25" s="33"/>
      <c r="F25" s="33"/>
      <c r="G25" s="116"/>
      <c r="H25" s="33"/>
      <c r="I25" s="33"/>
      <c r="J25" s="116"/>
      <c r="K25" s="33"/>
      <c r="L25" s="33"/>
      <c r="M25" s="33"/>
      <c r="N25" s="33"/>
      <c r="O25" s="123"/>
    </row>
    <row r="26" spans="1:16" ht="19.8" thickBot="1">
      <c r="A26" s="2"/>
      <c r="B26" s="118"/>
      <c r="C26" s="119"/>
      <c r="D26" s="136">
        <f>SUM(C25:D25)</f>
        <v>200000</v>
      </c>
      <c r="E26" s="119"/>
      <c r="F26" s="119"/>
      <c r="G26" s="120"/>
      <c r="H26" s="119"/>
      <c r="I26" s="119"/>
      <c r="J26" s="120"/>
      <c r="K26" s="119"/>
      <c r="L26" s="119"/>
      <c r="M26" s="119"/>
      <c r="N26" s="119"/>
      <c r="O26" s="121"/>
    </row>
    <row r="27" spans="1:16">
      <c r="A27" s="2" t="s">
        <v>11</v>
      </c>
      <c r="B27" s="27" t="s">
        <v>12</v>
      </c>
      <c r="C27" s="25"/>
      <c r="D27" s="26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4" t="s">
        <v>11</v>
      </c>
    </row>
    <row r="28" spans="1:16">
      <c r="B28" s="23"/>
      <c r="C28" s="22"/>
      <c r="D28" s="22"/>
      <c r="E28" s="22"/>
      <c r="F28" s="22"/>
      <c r="G28" s="22"/>
      <c r="H28" s="152">
        <v>50000</v>
      </c>
      <c r="I28" s="22"/>
      <c r="J28" s="22"/>
      <c r="K28" s="22"/>
      <c r="L28" s="152">
        <v>50000</v>
      </c>
      <c r="M28" s="22"/>
      <c r="N28" s="22">
        <v>100000</v>
      </c>
      <c r="O28" s="21">
        <v>200000</v>
      </c>
      <c r="P28" s="1">
        <v>100000</v>
      </c>
    </row>
    <row r="29" spans="1:16" ht="19.8" thickBot="1">
      <c r="B29" s="20"/>
      <c r="C29" s="18"/>
      <c r="D29" s="1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">
        <f>SUM(C28:O28)</f>
        <v>400000</v>
      </c>
      <c r="P29" s="16">
        <v>100000</v>
      </c>
    </row>
    <row r="30" spans="1:16">
      <c r="B30" t="s">
        <v>10</v>
      </c>
      <c r="C30" s="125">
        <f t="shared" ref="C30:O30" si="0">SUM(C4,C7,C10,C13,C16,C19,C22,C28)</f>
        <v>1200000</v>
      </c>
      <c r="D30" s="125">
        <f t="shared" si="0"/>
        <v>200000</v>
      </c>
      <c r="E30" s="3">
        <f t="shared" si="0"/>
        <v>300000</v>
      </c>
      <c r="F30" s="3">
        <f t="shared" si="0"/>
        <v>200000</v>
      </c>
      <c r="G30" s="3">
        <f t="shared" si="0"/>
        <v>200000</v>
      </c>
      <c r="H30" s="3">
        <f>SUM(H4,H7,H10,H13,H16,H19,H22,H28)</f>
        <v>250000</v>
      </c>
      <c r="I30" s="3">
        <f t="shared" si="0"/>
        <v>200000</v>
      </c>
      <c r="J30" s="3">
        <f>SUM(J4,J7,J10,J13,J16,J19,J22,J28)</f>
        <v>250000</v>
      </c>
      <c r="K30" s="3">
        <f t="shared" si="0"/>
        <v>300000</v>
      </c>
      <c r="L30" s="3">
        <f t="shared" si="0"/>
        <v>300000</v>
      </c>
      <c r="M30" s="3">
        <f t="shared" si="0"/>
        <v>200000</v>
      </c>
      <c r="N30" s="3">
        <f t="shared" si="0"/>
        <v>200000</v>
      </c>
      <c r="O30" s="3">
        <f t="shared" si="0"/>
        <v>200000</v>
      </c>
    </row>
    <row r="31" spans="1:16">
      <c r="B31" t="s">
        <v>9</v>
      </c>
      <c r="C31" s="16"/>
      <c r="D31" s="16">
        <v>200000</v>
      </c>
      <c r="E31" s="1">
        <v>200000</v>
      </c>
      <c r="F31" s="1">
        <v>200000</v>
      </c>
      <c r="G31" s="1">
        <v>200000</v>
      </c>
      <c r="H31" s="1">
        <v>200000</v>
      </c>
      <c r="I31" s="1">
        <v>200000</v>
      </c>
      <c r="J31" s="1">
        <v>200000</v>
      </c>
      <c r="K31" s="1">
        <v>200000</v>
      </c>
      <c r="L31" s="1">
        <v>200000</v>
      </c>
      <c r="M31" s="1">
        <v>200000</v>
      </c>
      <c r="N31" s="1">
        <v>200000</v>
      </c>
      <c r="O31" s="1">
        <v>200000</v>
      </c>
    </row>
    <row r="32" spans="1:16">
      <c r="A32" s="1"/>
      <c r="B32" t="s">
        <v>8</v>
      </c>
      <c r="C32" s="1"/>
      <c r="D32" s="15">
        <f t="shared" ref="D32:O32" si="1">D30-$D$31</f>
        <v>0</v>
      </c>
      <c r="E32" s="15">
        <f t="shared" si="1"/>
        <v>100000</v>
      </c>
      <c r="F32" s="15">
        <f t="shared" si="1"/>
        <v>0</v>
      </c>
      <c r="G32" s="15">
        <f t="shared" si="1"/>
        <v>0</v>
      </c>
      <c r="H32" s="15">
        <f t="shared" si="1"/>
        <v>50000</v>
      </c>
      <c r="I32" s="15">
        <f t="shared" si="1"/>
        <v>0</v>
      </c>
      <c r="J32" s="15">
        <f t="shared" si="1"/>
        <v>50000</v>
      </c>
      <c r="K32" s="15">
        <f t="shared" si="1"/>
        <v>100000</v>
      </c>
      <c r="L32" s="15">
        <f t="shared" si="1"/>
        <v>100000</v>
      </c>
      <c r="M32" s="15">
        <f t="shared" si="1"/>
        <v>0</v>
      </c>
      <c r="N32" s="15">
        <f t="shared" si="1"/>
        <v>0</v>
      </c>
      <c r="O32" s="15">
        <f t="shared" si="1"/>
        <v>0</v>
      </c>
    </row>
    <row r="33" spans="2:9" ht="19.8" thickBot="1">
      <c r="C33" s="3"/>
    </row>
    <row r="34" spans="2:9">
      <c r="B34" s="12" t="s">
        <v>7</v>
      </c>
      <c r="C34" s="11">
        <v>1300000</v>
      </c>
      <c r="D34"/>
      <c r="E34" t="s">
        <v>256</v>
      </c>
      <c r="F34"/>
      <c r="G34"/>
      <c r="H34"/>
      <c r="I34"/>
    </row>
    <row r="35" spans="2:9">
      <c r="B35" s="14" t="s">
        <v>6</v>
      </c>
      <c r="C35" s="13">
        <v>400000</v>
      </c>
      <c r="E35" s="1" t="s">
        <v>316</v>
      </c>
    </row>
    <row r="36" spans="2:9" ht="19.8" thickBot="1">
      <c r="B36" s="9" t="s">
        <v>5</v>
      </c>
      <c r="C36" s="10">
        <v>2400000</v>
      </c>
      <c r="E36" s="1" t="s">
        <v>315</v>
      </c>
    </row>
    <row r="37" spans="2:9" ht="19.8" thickBot="1">
      <c r="B37" s="9" t="s">
        <v>4</v>
      </c>
      <c r="C37" s="8">
        <f>SUM(C34:C36)</f>
        <v>4100000</v>
      </c>
      <c r="D37" s="1"/>
    </row>
    <row r="38" spans="2:9" ht="19.8" thickBot="1"/>
    <row r="39" spans="2:9">
      <c r="B39" s="12" t="s">
        <v>3</v>
      </c>
      <c r="C39" s="11">
        <f>SUM(C30:O30)</f>
        <v>4000000</v>
      </c>
      <c r="E39" s="1" t="s">
        <v>258</v>
      </c>
      <c r="F39" s="1" t="s">
        <v>11</v>
      </c>
    </row>
    <row r="40" spans="2:9" ht="19.8" thickBot="1">
      <c r="B40" s="9" t="s">
        <v>2</v>
      </c>
      <c r="C40" s="10">
        <v>500000</v>
      </c>
      <c r="E40" s="16">
        <v>200000</v>
      </c>
      <c r="F40" s="1">
        <v>300000</v>
      </c>
    </row>
    <row r="41" spans="2:9" ht="19.8" thickBot="1">
      <c r="B41" s="9" t="s">
        <v>1</v>
      </c>
      <c r="C41" s="8">
        <f>SUM(C39:C40)</f>
        <v>4500000</v>
      </c>
    </row>
    <row r="42" spans="2:9" ht="19.8" thickBot="1"/>
    <row r="43" spans="2:9" ht="19.8" thickBot="1">
      <c r="B43" s="7" t="s">
        <v>0</v>
      </c>
      <c r="C43" s="6">
        <v>500000</v>
      </c>
    </row>
    <row r="72" spans="1:9" s="2" customFormat="1">
      <c r="E72" s="5"/>
      <c r="F72" s="5"/>
      <c r="G72" s="5"/>
      <c r="H72" s="5"/>
      <c r="I72" s="5"/>
    </row>
    <row r="73" spans="1:9">
      <c r="A73" s="2"/>
      <c r="B73" s="2"/>
      <c r="C73" s="2"/>
    </row>
    <row r="74" spans="1:9">
      <c r="B74" s="2"/>
      <c r="D74" s="4"/>
    </row>
    <row r="75" spans="1:9">
      <c r="B75" s="2"/>
      <c r="D75" s="4"/>
    </row>
    <row r="76" spans="1:9">
      <c r="B76" s="2"/>
      <c r="D76" s="4"/>
    </row>
    <row r="77" spans="1:9">
      <c r="A77" s="2"/>
      <c r="B77" s="2"/>
      <c r="D77" s="4"/>
    </row>
    <row r="78" spans="1:9">
      <c r="B78" s="2"/>
      <c r="D78" s="4"/>
    </row>
    <row r="79" spans="1:9">
      <c r="B79" s="2"/>
      <c r="D79" s="4"/>
    </row>
    <row r="80" spans="1:9">
      <c r="B80" s="2"/>
      <c r="D80" s="4"/>
    </row>
    <row r="81" spans="1:4">
      <c r="A81" s="2"/>
      <c r="B81" s="2"/>
      <c r="D81" s="4"/>
    </row>
    <row r="82" spans="1:4">
      <c r="B82" s="2"/>
      <c r="D82" s="4"/>
    </row>
    <row r="83" spans="1:4">
      <c r="B83" s="2"/>
      <c r="D83" s="4"/>
    </row>
    <row r="84" spans="1:4">
      <c r="B84" s="2"/>
      <c r="D84" s="4"/>
    </row>
    <row r="85" spans="1:4">
      <c r="A85" s="2"/>
      <c r="B85" s="2"/>
      <c r="D85" s="4"/>
    </row>
    <row r="86" spans="1:4">
      <c r="B86" s="2"/>
      <c r="D86" s="4"/>
    </row>
    <row r="87" spans="1:4">
      <c r="B87" s="2"/>
      <c r="D87" s="4"/>
    </row>
    <row r="88" spans="1:4">
      <c r="B88" s="2"/>
      <c r="D88" s="4"/>
    </row>
    <row r="89" spans="1:4">
      <c r="A89" s="2"/>
      <c r="B89" s="2"/>
      <c r="D89" s="4"/>
    </row>
    <row r="90" spans="1:4">
      <c r="B90" s="2"/>
      <c r="D90" s="4"/>
    </row>
    <row r="91" spans="1:4">
      <c r="B91" s="2"/>
      <c r="D91" s="4"/>
    </row>
    <row r="92" spans="1:4">
      <c r="B92" s="2"/>
      <c r="D92" s="4"/>
    </row>
    <row r="93" spans="1:4">
      <c r="A93" s="2"/>
      <c r="B93" s="2"/>
      <c r="D93" s="4"/>
    </row>
    <row r="94" spans="1:4">
      <c r="B94" s="2"/>
      <c r="D94" s="4"/>
    </row>
    <row r="95" spans="1:4">
      <c r="B95" s="2"/>
      <c r="D95" s="4"/>
    </row>
    <row r="96" spans="1:4">
      <c r="B96" s="2"/>
      <c r="D96" s="4"/>
    </row>
    <row r="97" spans="1:4">
      <c r="A97" s="2"/>
      <c r="B97" s="2"/>
      <c r="D97" s="4"/>
    </row>
    <row r="98" spans="1:4">
      <c r="B98" s="2"/>
      <c r="D98" s="4"/>
    </row>
    <row r="99" spans="1:4">
      <c r="B99" s="2"/>
      <c r="D99" s="4"/>
    </row>
    <row r="100" spans="1:4">
      <c r="B100" s="2"/>
      <c r="D100" s="4"/>
    </row>
    <row r="101" spans="1:4">
      <c r="A101" s="2"/>
      <c r="B101" s="2"/>
      <c r="D101" s="4"/>
    </row>
    <row r="102" spans="1:4">
      <c r="B102" s="2"/>
      <c r="D102" s="4"/>
    </row>
    <row r="103" spans="1:4">
      <c r="B103" s="2"/>
      <c r="D103" s="4"/>
    </row>
    <row r="104" spans="1:4">
      <c r="B104" s="2"/>
      <c r="D104" s="4"/>
    </row>
    <row r="105" spans="1:4">
      <c r="A105" s="2"/>
      <c r="B105" s="2"/>
      <c r="D105" s="4"/>
    </row>
    <row r="106" spans="1:4">
      <c r="B106" s="2"/>
      <c r="D106" s="4"/>
    </row>
    <row r="107" spans="1:4">
      <c r="B107" s="2"/>
      <c r="D107" s="4"/>
    </row>
    <row r="108" spans="1:4">
      <c r="B108" s="2"/>
      <c r="D108" s="4"/>
    </row>
    <row r="109" spans="1:4">
      <c r="A109" s="2"/>
      <c r="B109" s="2"/>
      <c r="D109" s="4"/>
    </row>
    <row r="110" spans="1:4">
      <c r="B110" s="2"/>
      <c r="D110" s="4"/>
    </row>
    <row r="111" spans="1:4">
      <c r="B111" s="2"/>
      <c r="D111" s="4"/>
    </row>
    <row r="112" spans="1:4">
      <c r="B112" s="2"/>
      <c r="D112" s="4"/>
    </row>
    <row r="113" spans="1:10">
      <c r="A113" s="2"/>
      <c r="B113" s="2"/>
      <c r="D113" s="4"/>
    </row>
    <row r="114" spans="1:10">
      <c r="B114" s="2"/>
      <c r="D114" s="4"/>
    </row>
    <row r="115" spans="1:10">
      <c r="B115" s="2"/>
      <c r="D115" s="4"/>
    </row>
    <row r="116" spans="1:10">
      <c r="B116" s="2"/>
      <c r="D116" s="4"/>
    </row>
    <row r="117" spans="1:10">
      <c r="A117" s="2"/>
      <c r="B117" s="2"/>
      <c r="D117" s="4"/>
    </row>
    <row r="118" spans="1:10">
      <c r="B118" s="2"/>
      <c r="D118" s="4"/>
    </row>
    <row r="119" spans="1:10">
      <c r="B119" s="2"/>
      <c r="D119" s="4"/>
    </row>
    <row r="120" spans="1:10">
      <c r="B120" s="2"/>
      <c r="D120" s="4"/>
    </row>
    <row r="121" spans="1:10">
      <c r="D121" s="4"/>
      <c r="J121" s="3"/>
    </row>
  </sheetData>
  <phoneticPr fontId="4" type="noConversion"/>
  <pageMargins left="0.7" right="0.7" top="0.75" bottom="0.75" header="0.3" footer="0.3"/>
  <ignoredErrors>
    <ignoredError sqref="O29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6BD3-0FB1-E146-8653-F3C90B454057}">
  <dimension ref="A1:BE118"/>
  <sheetViews>
    <sheetView topLeftCell="A23" zoomScale="90" zoomScaleNormal="90" workbookViewId="0">
      <selection activeCell="AG61" sqref="AG61:AK61"/>
    </sheetView>
  </sheetViews>
  <sheetFormatPr defaultColWidth="6.1796875" defaultRowHeight="17.399999999999999"/>
  <cols>
    <col min="1" max="1" width="8.26953125" style="193" customWidth="1"/>
    <col min="2" max="2" width="5.54296875" style="193" customWidth="1"/>
    <col min="3" max="17" width="11.1796875" style="193" hidden="1" customWidth="1"/>
    <col min="18" max="18" width="14.7265625" style="193" hidden="1" customWidth="1"/>
    <col min="19" max="32" width="11.1796875" style="193" hidden="1" customWidth="1"/>
    <col min="33" max="57" width="11.1796875" style="193" customWidth="1"/>
    <col min="58" max="16384" width="6.1796875" style="193"/>
  </cols>
  <sheetData>
    <row r="1" spans="1:57" ht="16.5" customHeight="1">
      <c r="A1" s="233"/>
      <c r="B1" s="232"/>
      <c r="C1" s="242" t="s">
        <v>405</v>
      </c>
      <c r="D1" s="243"/>
      <c r="E1" s="243"/>
      <c r="F1" s="243"/>
      <c r="G1" s="244"/>
      <c r="H1" s="242" t="s">
        <v>406</v>
      </c>
      <c r="I1" s="243"/>
      <c r="J1" s="243"/>
      <c r="K1" s="243"/>
      <c r="L1" s="244"/>
      <c r="M1" s="242" t="s">
        <v>407</v>
      </c>
      <c r="N1" s="243"/>
      <c r="O1" s="243"/>
      <c r="P1" s="243"/>
      <c r="Q1" s="244"/>
      <c r="R1" s="242" t="s">
        <v>408</v>
      </c>
      <c r="S1" s="243"/>
      <c r="T1" s="243"/>
      <c r="U1" s="243"/>
      <c r="V1" s="244"/>
      <c r="W1" s="242" t="s">
        <v>409</v>
      </c>
      <c r="X1" s="243"/>
      <c r="Y1" s="243"/>
      <c r="Z1" s="243"/>
      <c r="AA1" s="244"/>
      <c r="AB1" s="242" t="s">
        <v>410</v>
      </c>
      <c r="AC1" s="243"/>
      <c r="AD1" s="243"/>
      <c r="AE1" s="243"/>
      <c r="AF1" s="244"/>
      <c r="AG1" s="242" t="s">
        <v>411</v>
      </c>
      <c r="AH1" s="243"/>
      <c r="AI1" s="243"/>
      <c r="AJ1" s="243"/>
      <c r="AK1" s="244"/>
      <c r="AL1" s="242" t="s">
        <v>412</v>
      </c>
      <c r="AM1" s="243"/>
      <c r="AN1" s="243"/>
      <c r="AO1" s="243"/>
      <c r="AP1" s="244"/>
      <c r="AQ1" s="242" t="s">
        <v>413</v>
      </c>
      <c r="AR1" s="243"/>
      <c r="AS1" s="243"/>
      <c r="AT1" s="243"/>
      <c r="AU1" s="244"/>
      <c r="AV1" s="242" t="s">
        <v>414</v>
      </c>
      <c r="AW1" s="243"/>
      <c r="AX1" s="243"/>
      <c r="AY1" s="243"/>
      <c r="AZ1" s="244"/>
      <c r="BA1" s="242" t="s">
        <v>415</v>
      </c>
      <c r="BB1" s="243"/>
      <c r="BC1" s="243"/>
      <c r="BD1" s="243"/>
      <c r="BE1" s="244"/>
    </row>
    <row r="2" spans="1:57" ht="15" customHeight="1">
      <c r="A2" s="267" t="s">
        <v>416</v>
      </c>
      <c r="B2" s="213" t="s">
        <v>417</v>
      </c>
      <c r="C2" s="213" t="s">
        <v>417</v>
      </c>
      <c r="D2" s="214"/>
      <c r="E2" s="214"/>
      <c r="F2" s="214"/>
      <c r="G2" s="214"/>
      <c r="H2" s="213" t="s">
        <v>418</v>
      </c>
      <c r="I2" s="214"/>
      <c r="J2" s="214"/>
      <c r="K2" s="214"/>
      <c r="L2" s="214"/>
      <c r="M2" s="213" t="s">
        <v>418</v>
      </c>
      <c r="N2" s="214"/>
      <c r="O2" s="214"/>
      <c r="P2" s="214"/>
      <c r="Q2" s="214"/>
      <c r="R2" s="213" t="s">
        <v>418</v>
      </c>
      <c r="S2" s="214"/>
      <c r="T2" s="214"/>
      <c r="U2" s="214"/>
      <c r="V2" s="214"/>
      <c r="W2" s="213" t="s">
        <v>418</v>
      </c>
      <c r="X2" s="214"/>
      <c r="Y2" s="214"/>
      <c r="Z2" s="214"/>
      <c r="AA2" s="214"/>
      <c r="AB2" s="213" t="s">
        <v>418</v>
      </c>
      <c r="AC2" s="214"/>
      <c r="AD2" s="214"/>
      <c r="AE2" s="214"/>
      <c r="AF2" s="214"/>
      <c r="AG2" s="213" t="s">
        <v>418</v>
      </c>
      <c r="AH2" s="214"/>
      <c r="AI2" s="214"/>
      <c r="AJ2" s="214"/>
      <c r="AK2" s="214"/>
      <c r="AL2" s="213" t="s">
        <v>418</v>
      </c>
      <c r="AM2" s="214"/>
      <c r="AN2" s="214"/>
      <c r="AO2" s="214"/>
      <c r="AP2" s="214"/>
      <c r="AQ2" s="213" t="s">
        <v>418</v>
      </c>
      <c r="AR2" s="214"/>
      <c r="AS2" s="214"/>
      <c r="AT2" s="214"/>
      <c r="AU2" s="214"/>
      <c r="AV2" s="213" t="s">
        <v>418</v>
      </c>
      <c r="AW2" s="214"/>
      <c r="AX2" s="214"/>
      <c r="AY2" s="214"/>
      <c r="AZ2" s="214"/>
      <c r="BA2" s="213" t="s">
        <v>418</v>
      </c>
      <c r="BB2" s="214"/>
      <c r="BC2" s="215"/>
      <c r="BD2" s="215"/>
      <c r="BE2" s="215"/>
    </row>
    <row r="3" spans="1:57" ht="15" customHeight="1">
      <c r="A3" s="259"/>
      <c r="B3" s="213" t="s">
        <v>419</v>
      </c>
      <c r="C3" s="213" t="s">
        <v>418</v>
      </c>
      <c r="D3" s="213" t="s">
        <v>365</v>
      </c>
      <c r="E3" s="213" t="s">
        <v>404</v>
      </c>
      <c r="F3" s="213"/>
      <c r="G3" s="213"/>
      <c r="H3" s="213" t="s">
        <v>418</v>
      </c>
      <c r="I3" s="213" t="s">
        <v>420</v>
      </c>
      <c r="J3" s="213" t="s">
        <v>403</v>
      </c>
      <c r="K3" s="213"/>
      <c r="L3" s="213"/>
      <c r="M3" s="213" t="s">
        <v>418</v>
      </c>
      <c r="N3" s="213" t="s">
        <v>493</v>
      </c>
      <c r="O3" s="213" t="s">
        <v>752</v>
      </c>
      <c r="P3" s="213"/>
      <c r="Q3" s="213"/>
      <c r="R3" s="213" t="s">
        <v>418</v>
      </c>
      <c r="S3" s="213" t="s">
        <v>751</v>
      </c>
      <c r="T3" s="213" t="s">
        <v>493</v>
      </c>
      <c r="U3" s="213"/>
      <c r="V3" s="213"/>
      <c r="W3" s="213" t="s">
        <v>418</v>
      </c>
      <c r="X3" s="213" t="s">
        <v>750</v>
      </c>
      <c r="Y3" s="213" t="s">
        <v>749</v>
      </c>
      <c r="Z3" s="213"/>
      <c r="AA3" s="213"/>
      <c r="AB3" s="213" t="s">
        <v>418</v>
      </c>
      <c r="AC3" s="213" t="s">
        <v>730</v>
      </c>
      <c r="AD3" s="213" t="s">
        <v>748</v>
      </c>
      <c r="AE3" s="213" t="s">
        <v>753</v>
      </c>
      <c r="AF3" s="213"/>
      <c r="AG3" s="213" t="s">
        <v>418</v>
      </c>
      <c r="AH3" s="213" t="s">
        <v>766</v>
      </c>
      <c r="AI3" s="213" t="s">
        <v>776</v>
      </c>
      <c r="AJ3" s="213"/>
      <c r="AK3" s="213"/>
      <c r="AL3" s="213" t="s">
        <v>418</v>
      </c>
      <c r="AM3" s="213"/>
      <c r="AN3" s="213"/>
      <c r="AO3" s="213"/>
      <c r="AP3" s="213"/>
      <c r="AQ3" s="213" t="s">
        <v>418</v>
      </c>
      <c r="AR3" s="213"/>
      <c r="AS3" s="213"/>
      <c r="AT3" s="213"/>
      <c r="AU3" s="213"/>
      <c r="AV3" s="213" t="s">
        <v>418</v>
      </c>
      <c r="AW3" s="213"/>
      <c r="AX3" s="213"/>
      <c r="AY3" s="213"/>
      <c r="AZ3" s="213"/>
      <c r="BA3" s="213" t="s">
        <v>418</v>
      </c>
      <c r="BB3" s="213"/>
      <c r="BC3" s="212"/>
      <c r="BD3" s="212"/>
      <c r="BE3" s="212"/>
    </row>
    <row r="4" spans="1:57" ht="15" customHeight="1">
      <c r="A4" s="259"/>
      <c r="B4" s="214"/>
      <c r="C4" s="213">
        <v>229000</v>
      </c>
      <c r="D4" s="213">
        <v>-18000</v>
      </c>
      <c r="E4" s="213">
        <v>782611</v>
      </c>
      <c r="F4" s="213"/>
      <c r="G4" s="213"/>
      <c r="H4" s="213">
        <f>C13</f>
        <v>993611</v>
      </c>
      <c r="I4" s="213">
        <v>-51300</v>
      </c>
      <c r="J4" s="213">
        <v>200000</v>
      </c>
      <c r="K4" s="213"/>
      <c r="L4" s="213"/>
      <c r="M4" s="213">
        <f>H13</f>
        <v>944667</v>
      </c>
      <c r="N4" s="213">
        <v>51100</v>
      </c>
      <c r="O4" s="213">
        <v>50000</v>
      </c>
      <c r="P4" s="213"/>
      <c r="Q4" s="213"/>
      <c r="R4" s="213">
        <f>M13</f>
        <v>1062089</v>
      </c>
      <c r="S4" s="213">
        <v>-14000</v>
      </c>
      <c r="T4" s="213">
        <v>-345287</v>
      </c>
      <c r="U4" s="213"/>
      <c r="V4" s="213"/>
      <c r="W4" s="213">
        <f>R13</f>
        <v>626802</v>
      </c>
      <c r="X4" s="213">
        <v>-280000</v>
      </c>
      <c r="Y4" s="213">
        <v>-10000</v>
      </c>
      <c r="Z4" s="213"/>
      <c r="AA4" s="213"/>
      <c r="AB4" s="213">
        <f>W13</f>
        <v>-498498</v>
      </c>
      <c r="AC4" s="213">
        <v>-5000</v>
      </c>
      <c r="AD4" s="213">
        <v>-35000</v>
      </c>
      <c r="AE4" s="213">
        <v>54948</v>
      </c>
      <c r="AF4" s="213"/>
      <c r="AG4" s="213">
        <f>AB13</f>
        <v>0</v>
      </c>
      <c r="AH4" s="213">
        <v>-14701</v>
      </c>
      <c r="AI4" s="213">
        <v>-100000</v>
      </c>
      <c r="AJ4" s="213"/>
      <c r="AK4" s="213"/>
      <c r="AL4" s="213">
        <f>AG13</f>
        <v>6388603</v>
      </c>
      <c r="AM4" s="213"/>
      <c r="AN4" s="213"/>
      <c r="AO4" s="213"/>
      <c r="AP4" s="213"/>
      <c r="AQ4" s="213">
        <f>AL13</f>
        <v>6388603</v>
      </c>
      <c r="AR4" s="213"/>
      <c r="AS4" s="213"/>
      <c r="AT4" s="213"/>
      <c r="AU4" s="213"/>
      <c r="AV4" s="213">
        <f>AQ13</f>
        <v>6388603</v>
      </c>
      <c r="AW4" s="213"/>
      <c r="AX4" s="213"/>
      <c r="AY4" s="213"/>
      <c r="AZ4" s="213"/>
      <c r="BA4" s="213">
        <f>AV13</f>
        <v>6388603</v>
      </c>
      <c r="BB4" s="213"/>
      <c r="BC4" s="212"/>
      <c r="BD4" s="212"/>
      <c r="BE4" s="212"/>
    </row>
    <row r="5" spans="1:57" ht="15" customHeight="1">
      <c r="A5" s="259"/>
      <c r="B5" s="213" t="s">
        <v>419</v>
      </c>
      <c r="C5" s="213"/>
      <c r="D5" s="213"/>
      <c r="E5" s="213"/>
      <c r="F5" s="213"/>
      <c r="G5" s="213"/>
      <c r="H5" s="213" t="s">
        <v>747</v>
      </c>
      <c r="I5" s="213" t="s">
        <v>493</v>
      </c>
      <c r="J5" s="213" t="s">
        <v>493</v>
      </c>
      <c r="K5" s="213"/>
      <c r="L5" s="213"/>
      <c r="M5" s="213" t="s">
        <v>493</v>
      </c>
      <c r="N5" s="213" t="s">
        <v>493</v>
      </c>
      <c r="O5" s="213" t="s">
        <v>493</v>
      </c>
      <c r="P5" s="213"/>
      <c r="Q5" s="213"/>
      <c r="R5" s="213" t="s">
        <v>746</v>
      </c>
      <c r="S5" s="213" t="s">
        <v>744</v>
      </c>
      <c r="T5" s="213" t="s">
        <v>730</v>
      </c>
      <c r="U5" s="213"/>
      <c r="V5" s="213"/>
      <c r="W5" s="213" t="s">
        <v>745</v>
      </c>
      <c r="X5" s="213" t="s">
        <v>744</v>
      </c>
      <c r="Y5" s="213" t="s">
        <v>741</v>
      </c>
      <c r="Z5" s="213"/>
      <c r="AA5" s="213"/>
      <c r="AB5" s="213" t="s">
        <v>743</v>
      </c>
      <c r="AC5" s="213" t="s">
        <v>742</v>
      </c>
      <c r="AD5" s="213" t="s">
        <v>741</v>
      </c>
      <c r="AE5" s="213"/>
      <c r="AF5" s="213"/>
      <c r="AG5" s="213" t="s">
        <v>762</v>
      </c>
      <c r="AH5" s="213" t="s">
        <v>767</v>
      </c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2"/>
      <c r="BD5" s="212"/>
      <c r="BE5" s="212"/>
    </row>
    <row r="6" spans="1:57" ht="15" customHeight="1">
      <c r="A6" s="259"/>
      <c r="B6" s="214"/>
      <c r="C6" s="213"/>
      <c r="D6" s="213"/>
      <c r="E6" s="213"/>
      <c r="F6" s="213"/>
      <c r="G6" s="213"/>
      <c r="H6" s="213">
        <v>-252552</v>
      </c>
      <c r="I6" s="213">
        <v>58908</v>
      </c>
      <c r="J6" s="213">
        <v>21500</v>
      </c>
      <c r="K6" s="213"/>
      <c r="L6" s="213"/>
      <c r="M6" s="213">
        <v>-179831</v>
      </c>
      <c r="N6" s="213">
        <v>160133</v>
      </c>
      <c r="O6" s="213">
        <v>36020</v>
      </c>
      <c r="P6" s="213"/>
      <c r="Q6" s="213"/>
      <c r="R6" s="213">
        <v>-14000</v>
      </c>
      <c r="S6" s="213">
        <v>-40000</v>
      </c>
      <c r="T6" s="213">
        <v>-10000</v>
      </c>
      <c r="U6" s="213"/>
      <c r="V6" s="213"/>
      <c r="W6" s="213">
        <v>-30000</v>
      </c>
      <c r="X6" s="213">
        <v>-20000</v>
      </c>
      <c r="Y6" s="213">
        <v>-25000</v>
      </c>
      <c r="Z6" s="213"/>
      <c r="AA6" s="213"/>
      <c r="AB6" s="213">
        <v>-6300</v>
      </c>
      <c r="AC6" s="213">
        <v>-10000</v>
      </c>
      <c r="AD6" s="213">
        <v>-50000</v>
      </c>
      <c r="AE6" s="213"/>
      <c r="AF6" s="213"/>
      <c r="AG6" s="213">
        <v>4812666</v>
      </c>
      <c r="AH6" s="213">
        <v>-93420</v>
      </c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2"/>
      <c r="BD6" s="212"/>
      <c r="BE6" s="212"/>
    </row>
    <row r="7" spans="1:57" ht="15" customHeight="1">
      <c r="A7" s="259"/>
      <c r="B7" s="213" t="s">
        <v>419</v>
      </c>
      <c r="C7" s="213"/>
      <c r="D7" s="213"/>
      <c r="E7" s="213"/>
      <c r="F7" s="213"/>
      <c r="G7" s="213"/>
      <c r="H7" s="213" t="s">
        <v>493</v>
      </c>
      <c r="I7" s="213" t="s">
        <v>740</v>
      </c>
      <c r="J7" s="213"/>
      <c r="K7" s="213"/>
      <c r="L7" s="213"/>
      <c r="M7" s="213"/>
      <c r="N7" s="213"/>
      <c r="O7" s="213"/>
      <c r="P7" s="213"/>
      <c r="Q7" s="213"/>
      <c r="R7" s="213" t="s">
        <v>739</v>
      </c>
      <c r="S7" s="213"/>
      <c r="T7" s="213"/>
      <c r="U7" s="213"/>
      <c r="V7" s="213"/>
      <c r="W7" s="213" t="s">
        <v>738</v>
      </c>
      <c r="X7" s="213" t="s">
        <v>730</v>
      </c>
      <c r="Y7" s="213" t="s">
        <v>731</v>
      </c>
      <c r="Z7" s="213"/>
      <c r="AA7" s="213"/>
      <c r="AB7" s="213" t="s">
        <v>737</v>
      </c>
      <c r="AC7" s="213" t="s">
        <v>700</v>
      </c>
      <c r="AD7" s="213" t="s">
        <v>736</v>
      </c>
      <c r="AE7" s="213"/>
      <c r="AF7" s="213"/>
      <c r="AG7" s="213" t="s">
        <v>762</v>
      </c>
      <c r="AH7" s="213" t="s">
        <v>772</v>
      </c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2"/>
      <c r="BD7" s="212"/>
      <c r="BE7" s="212"/>
    </row>
    <row r="8" spans="1:57" ht="15" customHeight="1">
      <c r="A8" s="259"/>
      <c r="B8" s="214"/>
      <c r="C8" s="213"/>
      <c r="D8" s="213"/>
      <c r="E8" s="213"/>
      <c r="F8" s="213"/>
      <c r="G8" s="213"/>
      <c r="H8" s="213">
        <v>-16000</v>
      </c>
      <c r="I8" s="213">
        <v>-9500</v>
      </c>
      <c r="J8" s="213"/>
      <c r="K8" s="213"/>
      <c r="L8" s="213"/>
      <c r="M8" s="213"/>
      <c r="N8" s="213"/>
      <c r="O8" s="213"/>
      <c r="P8" s="213"/>
      <c r="Q8" s="213"/>
      <c r="R8" s="213">
        <v>-12000</v>
      </c>
      <c r="S8" s="213"/>
      <c r="T8" s="213"/>
      <c r="U8" s="213"/>
      <c r="V8" s="213"/>
      <c r="W8" s="213">
        <v>-10000</v>
      </c>
      <c r="X8" s="213">
        <f>-18000-11300+5500-5000</f>
        <v>-28800</v>
      </c>
      <c r="Y8" s="213">
        <f>-8500-8000</f>
        <v>-16500</v>
      </c>
      <c r="Z8" s="213"/>
      <c r="AA8" s="213"/>
      <c r="AB8" s="213">
        <v>19600</v>
      </c>
      <c r="AC8" s="213">
        <v>585198</v>
      </c>
      <c r="AD8" s="213">
        <v>-7448</v>
      </c>
      <c r="AE8" s="213"/>
      <c r="AF8" s="213"/>
      <c r="AG8" s="213">
        <v>-100000</v>
      </c>
      <c r="AH8" s="213">
        <v>2082285</v>
      </c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2"/>
      <c r="BD8" s="212"/>
      <c r="BE8" s="212"/>
    </row>
    <row r="9" spans="1:57" ht="15" customHeight="1">
      <c r="A9" s="259"/>
      <c r="B9" s="213" t="s">
        <v>419</v>
      </c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 t="s">
        <v>735</v>
      </c>
      <c r="X9" s="213" t="s">
        <v>734</v>
      </c>
      <c r="Y9" s="213" t="s">
        <v>733</v>
      </c>
      <c r="Z9" s="213"/>
      <c r="AA9" s="213"/>
      <c r="AB9" s="213" t="s">
        <v>732</v>
      </c>
      <c r="AC9" s="213" t="s">
        <v>731</v>
      </c>
      <c r="AD9" s="213" t="s">
        <v>730</v>
      </c>
      <c r="AE9" s="213"/>
      <c r="AF9" s="213"/>
      <c r="AG9" s="213" t="s">
        <v>768</v>
      </c>
      <c r="AH9" s="213" t="s">
        <v>774</v>
      </c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2"/>
      <c r="BD9" s="212"/>
      <c r="BE9" s="212"/>
    </row>
    <row r="10" spans="1:57" ht="15" customHeight="1">
      <c r="A10" s="259"/>
      <c r="B10" s="214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>
        <v>-140000</v>
      </c>
      <c r="X10" s="213">
        <v>-540000</v>
      </c>
      <c r="Y10" s="213">
        <v>-25000</v>
      </c>
      <c r="Z10" s="213"/>
      <c r="AA10" s="213"/>
      <c r="AB10" s="213">
        <v>-34000</v>
      </c>
      <c r="AC10" s="213">
        <v>-8500</v>
      </c>
      <c r="AD10" s="213">
        <v>-5000</v>
      </c>
      <c r="AE10" s="213"/>
      <c r="AF10" s="213"/>
      <c r="AG10" s="213">
        <v>8803</v>
      </c>
      <c r="AH10" s="213">
        <v>-100000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2"/>
      <c r="BD10" s="212"/>
      <c r="BE10" s="212"/>
    </row>
    <row r="11" spans="1:57" ht="19.2">
      <c r="A11" s="259"/>
      <c r="B11" s="213" t="s">
        <v>419</v>
      </c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 t="s">
        <v>765</v>
      </c>
      <c r="AH11" s="213" t="s">
        <v>775</v>
      </c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2"/>
      <c r="BD11" s="212"/>
      <c r="BE11" s="212"/>
    </row>
    <row r="12" spans="1:57" ht="19.2">
      <c r="A12" s="260"/>
      <c r="B12" s="214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>
        <v>-7030</v>
      </c>
      <c r="AH12" s="213">
        <v>-100000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2"/>
      <c r="BD12" s="212"/>
      <c r="BE12" s="212"/>
    </row>
    <row r="13" spans="1:57" ht="15" customHeight="1">
      <c r="A13" s="231" t="s">
        <v>417</v>
      </c>
      <c r="B13" s="230"/>
      <c r="C13" s="246">
        <f>SUM(C4:G4,C6:G6,C8:G8,C10:G10,C12:G12)</f>
        <v>993611</v>
      </c>
      <c r="D13" s="239"/>
      <c r="E13" s="239"/>
      <c r="F13" s="239"/>
      <c r="G13" s="240"/>
      <c r="H13" s="246">
        <f>SUM(H4:L4,H6:L6,H8:L8,H10:L10,H12:L12)</f>
        <v>944667</v>
      </c>
      <c r="I13" s="239"/>
      <c r="J13" s="239"/>
      <c r="K13" s="239"/>
      <c r="L13" s="240"/>
      <c r="M13" s="246">
        <f>SUM(M4:Q4,M6:Q6,M8:Q8,M10:Q10,M12:Q12)</f>
        <v>1062089</v>
      </c>
      <c r="N13" s="239"/>
      <c r="O13" s="239"/>
      <c r="P13" s="239"/>
      <c r="Q13" s="240"/>
      <c r="R13" s="246">
        <f>SUM(R4:V4,R6:V6,R8:V8,R10:V10,R12:V12)</f>
        <v>626802</v>
      </c>
      <c r="S13" s="239"/>
      <c r="T13" s="239"/>
      <c r="U13" s="239"/>
      <c r="V13" s="240"/>
      <c r="W13" s="246">
        <f>SUM(W4:AA4,W6:AA6,W8:AA8,W10:AA10,W12:AA12)</f>
        <v>-498498</v>
      </c>
      <c r="X13" s="239"/>
      <c r="Y13" s="239"/>
      <c r="Z13" s="239"/>
      <c r="AA13" s="240"/>
      <c r="AB13" s="246">
        <f>SUM(AB4:AF4,AB6:AF6,AB8:AF8,AB10:AF10,AB12:AF12)</f>
        <v>0</v>
      </c>
      <c r="AC13" s="239"/>
      <c r="AD13" s="239"/>
      <c r="AE13" s="239"/>
      <c r="AF13" s="240"/>
      <c r="AG13" s="246">
        <f>SUM(AG4:AK4,AG6:AK6,AG8:AK8,AG10:AK10,AG12:AK12)</f>
        <v>6388603</v>
      </c>
      <c r="AH13" s="239"/>
      <c r="AI13" s="239"/>
      <c r="AJ13" s="239"/>
      <c r="AK13" s="240"/>
      <c r="AL13" s="246">
        <f>SUM(AL4:AP4,AL6:AP6,AL8:AP8,AL10:AP10,AL12:AP12)</f>
        <v>6388603</v>
      </c>
      <c r="AM13" s="239"/>
      <c r="AN13" s="239"/>
      <c r="AO13" s="239"/>
      <c r="AP13" s="240"/>
      <c r="AQ13" s="246">
        <f>SUM(AQ4:AU4,AQ6:AU6,AQ8:AU8,AQ10:AU10,AQ12:AU12)</f>
        <v>6388603</v>
      </c>
      <c r="AR13" s="239"/>
      <c r="AS13" s="239"/>
      <c r="AT13" s="239"/>
      <c r="AU13" s="240"/>
      <c r="AV13" s="246">
        <f>SUM(AV4:AZ4,AV6:AZ6,AV8:AZ8,AV10:AZ10,AV12:AZ12)</f>
        <v>6388603</v>
      </c>
      <c r="AW13" s="239"/>
      <c r="AX13" s="239"/>
      <c r="AY13" s="239"/>
      <c r="AZ13" s="240"/>
      <c r="BA13" s="246">
        <f>SUM(BA4:BE4,BA6:BE6,BA8:BE8,BA10:BE10,BA12:BE12)</f>
        <v>6388603</v>
      </c>
      <c r="BB13" s="239"/>
      <c r="BC13" s="239"/>
      <c r="BD13" s="239"/>
      <c r="BE13" s="240"/>
    </row>
    <row r="14" spans="1:57" ht="15" customHeight="1">
      <c r="A14" s="264" t="s">
        <v>421</v>
      </c>
      <c r="B14" s="213" t="s">
        <v>417</v>
      </c>
      <c r="C14" s="213" t="s">
        <v>417</v>
      </c>
      <c r="D14" s="214"/>
      <c r="E14" s="214"/>
      <c r="F14" s="214"/>
      <c r="G14" s="214"/>
      <c r="H14" s="213" t="s">
        <v>418</v>
      </c>
      <c r="I14" s="214"/>
      <c r="J14" s="214"/>
      <c r="K14" s="214"/>
      <c r="L14" s="214"/>
      <c r="M14" s="213" t="s">
        <v>418</v>
      </c>
      <c r="N14" s="214"/>
      <c r="O14" s="214"/>
      <c r="P14" s="214"/>
      <c r="Q14" s="214"/>
      <c r="R14" s="213" t="s">
        <v>418</v>
      </c>
      <c r="S14" s="214"/>
      <c r="T14" s="214"/>
      <c r="U14" s="214"/>
      <c r="V14" s="214"/>
      <c r="W14" s="213" t="s">
        <v>418</v>
      </c>
      <c r="X14" s="214"/>
      <c r="Y14" s="214"/>
      <c r="Z14" s="214"/>
      <c r="AA14" s="214"/>
      <c r="AB14" s="213" t="s">
        <v>418</v>
      </c>
      <c r="AC14" s="214"/>
      <c r="AD14" s="214"/>
      <c r="AE14" s="214"/>
      <c r="AF14" s="214"/>
      <c r="AG14" s="213" t="s">
        <v>418</v>
      </c>
      <c r="AH14" s="214"/>
      <c r="AI14" s="214"/>
      <c r="AJ14" s="214"/>
      <c r="AK14" s="214"/>
      <c r="AL14" s="213" t="s">
        <v>418</v>
      </c>
      <c r="AM14" s="214"/>
      <c r="AN14" s="214"/>
      <c r="AO14" s="214"/>
      <c r="AP14" s="214"/>
      <c r="AQ14" s="213" t="s">
        <v>418</v>
      </c>
      <c r="AR14" s="214"/>
      <c r="AS14" s="214"/>
      <c r="AT14" s="214"/>
      <c r="AU14" s="214"/>
      <c r="AV14" s="213" t="s">
        <v>418</v>
      </c>
      <c r="AW14" s="214"/>
      <c r="AX14" s="214"/>
      <c r="AY14" s="214"/>
      <c r="AZ14" s="214"/>
      <c r="BA14" s="213" t="s">
        <v>418</v>
      </c>
      <c r="BB14" s="214"/>
      <c r="BC14" s="215"/>
      <c r="BD14" s="215"/>
      <c r="BE14" s="215"/>
    </row>
    <row r="15" spans="1:57" ht="15" customHeight="1">
      <c r="A15" s="259"/>
      <c r="B15" s="213" t="s">
        <v>419</v>
      </c>
      <c r="C15" s="213" t="s">
        <v>418</v>
      </c>
      <c r="D15" s="213" t="s">
        <v>422</v>
      </c>
      <c r="E15" s="213"/>
      <c r="F15" s="213"/>
      <c r="G15" s="213"/>
      <c r="H15" s="213" t="s">
        <v>418</v>
      </c>
      <c r="I15" s="213"/>
      <c r="J15" s="213"/>
      <c r="K15" s="213"/>
      <c r="L15" s="213"/>
      <c r="M15" s="213" t="s">
        <v>418</v>
      </c>
      <c r="N15" s="213" t="s">
        <v>729</v>
      </c>
      <c r="O15" s="213" t="s">
        <v>493</v>
      </c>
      <c r="P15" s="213"/>
      <c r="Q15" s="213"/>
      <c r="R15" s="213" t="s">
        <v>418</v>
      </c>
      <c r="S15" s="213"/>
      <c r="T15" s="213"/>
      <c r="U15" s="213"/>
      <c r="V15" s="213"/>
      <c r="W15" s="213" t="s">
        <v>418</v>
      </c>
      <c r="X15" s="213" t="s">
        <v>422</v>
      </c>
      <c r="Y15" s="213"/>
      <c r="Z15" s="213"/>
      <c r="AA15" s="213"/>
      <c r="AB15" s="213" t="s">
        <v>418</v>
      </c>
      <c r="AC15" s="213" t="s">
        <v>422</v>
      </c>
      <c r="AD15" s="213"/>
      <c r="AE15" s="213"/>
      <c r="AF15" s="213"/>
      <c r="AG15" s="213" t="s">
        <v>418</v>
      </c>
      <c r="AH15" s="213"/>
      <c r="AI15" s="213"/>
      <c r="AJ15" s="213"/>
      <c r="AK15" s="213"/>
      <c r="AL15" s="213" t="s">
        <v>418</v>
      </c>
      <c r="AM15" s="213"/>
      <c r="AN15" s="213"/>
      <c r="AO15" s="213"/>
      <c r="AP15" s="213"/>
      <c r="AQ15" s="213" t="s">
        <v>418</v>
      </c>
      <c r="AR15" s="213"/>
      <c r="AS15" s="213"/>
      <c r="AT15" s="213"/>
      <c r="AU15" s="213"/>
      <c r="AV15" s="213" t="s">
        <v>418</v>
      </c>
      <c r="AW15" s="213"/>
      <c r="AX15" s="213"/>
      <c r="AY15" s="213"/>
      <c r="AZ15" s="213"/>
      <c r="BA15" s="213" t="s">
        <v>418</v>
      </c>
      <c r="BB15" s="213"/>
      <c r="BC15" s="212"/>
      <c r="BD15" s="212"/>
      <c r="BE15" s="212"/>
    </row>
    <row r="16" spans="1:57" ht="15" customHeight="1">
      <c r="A16" s="259"/>
      <c r="B16" s="214"/>
      <c r="C16" s="213">
        <v>300000</v>
      </c>
      <c r="D16" s="213">
        <v>50000</v>
      </c>
      <c r="E16" s="213"/>
      <c r="F16" s="213"/>
      <c r="G16" s="213"/>
      <c r="H16" s="213">
        <f>C25</f>
        <v>350000</v>
      </c>
      <c r="I16" s="213"/>
      <c r="J16" s="213"/>
      <c r="K16" s="213"/>
      <c r="L16" s="213"/>
      <c r="M16" s="213">
        <f>H25</f>
        <v>350000</v>
      </c>
      <c r="N16" s="213">
        <v>-313980</v>
      </c>
      <c r="O16" s="213">
        <v>-36020</v>
      </c>
      <c r="P16" s="213"/>
      <c r="Q16" s="213"/>
      <c r="R16" s="213">
        <f>M25</f>
        <v>0</v>
      </c>
      <c r="S16" s="213"/>
      <c r="T16" s="213"/>
      <c r="U16" s="213"/>
      <c r="V16" s="213"/>
      <c r="W16" s="213">
        <f>R25</f>
        <v>0</v>
      </c>
      <c r="X16" s="213">
        <v>100000</v>
      </c>
      <c r="Y16" s="213"/>
      <c r="Z16" s="213"/>
      <c r="AA16" s="213"/>
      <c r="AB16" s="213">
        <f>W25</f>
        <v>100000</v>
      </c>
      <c r="AC16" s="213">
        <v>100000</v>
      </c>
      <c r="AD16" s="213"/>
      <c r="AE16" s="213"/>
      <c r="AF16" s="213"/>
      <c r="AG16" s="213">
        <f>AB25</f>
        <v>200000</v>
      </c>
      <c r="AH16" s="213"/>
      <c r="AI16" s="213"/>
      <c r="AJ16" s="213"/>
      <c r="AK16" s="213"/>
      <c r="AL16" s="213">
        <f>AG25</f>
        <v>300000</v>
      </c>
      <c r="AM16" s="213"/>
      <c r="AN16" s="213"/>
      <c r="AO16" s="213"/>
      <c r="AP16" s="213"/>
      <c r="AQ16" s="213">
        <f>AL25</f>
        <v>300000</v>
      </c>
      <c r="AR16" s="213"/>
      <c r="AS16" s="213"/>
      <c r="AT16" s="213"/>
      <c r="AU16" s="213"/>
      <c r="AV16" s="213">
        <f>AQ25</f>
        <v>300000</v>
      </c>
      <c r="AW16" s="213"/>
      <c r="AX16" s="213"/>
      <c r="AY16" s="213"/>
      <c r="AZ16" s="213"/>
      <c r="BA16" s="213">
        <f>AV25</f>
        <v>300000</v>
      </c>
      <c r="BB16" s="213"/>
      <c r="BC16" s="212"/>
      <c r="BD16" s="212"/>
      <c r="BE16" s="212"/>
    </row>
    <row r="17" spans="1:57" ht="15" customHeight="1">
      <c r="A17" s="259"/>
      <c r="B17" s="213" t="s">
        <v>419</v>
      </c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 t="s">
        <v>773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2"/>
      <c r="BD17" s="212"/>
      <c r="BE17" s="212"/>
    </row>
    <row r="18" spans="1:57" ht="15" customHeight="1">
      <c r="A18" s="259"/>
      <c r="B18" s="214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>
        <v>100000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2"/>
      <c r="BD18" s="212"/>
      <c r="BE18" s="212"/>
    </row>
    <row r="19" spans="1:57" ht="15" customHeight="1">
      <c r="A19" s="259"/>
      <c r="B19" s="213" t="s">
        <v>419</v>
      </c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2"/>
      <c r="BD19" s="212"/>
      <c r="BE19" s="212"/>
    </row>
    <row r="20" spans="1:57" ht="15" customHeight="1">
      <c r="A20" s="259"/>
      <c r="B20" s="214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2"/>
      <c r="BD20" s="212"/>
      <c r="BE20" s="212"/>
    </row>
    <row r="21" spans="1:57" ht="15" customHeight="1">
      <c r="A21" s="259"/>
      <c r="B21" s="213" t="s">
        <v>419</v>
      </c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2"/>
      <c r="BD21" s="212"/>
      <c r="BE21" s="212"/>
    </row>
    <row r="22" spans="1:57" ht="15" customHeight="1">
      <c r="A22" s="259"/>
      <c r="B22" s="214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2"/>
      <c r="BD22" s="212"/>
      <c r="BE22" s="212"/>
    </row>
    <row r="23" spans="1:57" ht="19.2">
      <c r="A23" s="259"/>
      <c r="B23" s="213" t="s">
        <v>419</v>
      </c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2"/>
      <c r="BD23" s="212"/>
      <c r="BE23" s="212"/>
    </row>
    <row r="24" spans="1:57" ht="19.2">
      <c r="A24" s="260"/>
      <c r="B24" s="214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2"/>
      <c r="BD24" s="212"/>
      <c r="BE24" s="212"/>
    </row>
    <row r="25" spans="1:57" ht="15" customHeight="1">
      <c r="A25" s="229" t="s">
        <v>417</v>
      </c>
      <c r="B25" s="228"/>
      <c r="C25" s="250">
        <f>SUM(C16:G16,C18:G18,C20:G20,C22:G22,C24:G24)</f>
        <v>350000</v>
      </c>
      <c r="D25" s="239"/>
      <c r="E25" s="239"/>
      <c r="F25" s="239"/>
      <c r="G25" s="240"/>
      <c r="H25" s="250">
        <f>SUM(H16:L16,H18:L18,H20:L20,H22:L22,H24:L24)</f>
        <v>350000</v>
      </c>
      <c r="I25" s="239"/>
      <c r="J25" s="239"/>
      <c r="K25" s="239"/>
      <c r="L25" s="240"/>
      <c r="M25" s="250">
        <f>SUM(M16:Q16,M18:Q18,M20:Q20,M22:Q22,M24:Q24)</f>
        <v>0</v>
      </c>
      <c r="N25" s="239"/>
      <c r="O25" s="239"/>
      <c r="P25" s="239"/>
      <c r="Q25" s="240"/>
      <c r="R25" s="250">
        <f>SUM(R16:V16,R18:V18,R20:V20,R22:V22,R24:V24)</f>
        <v>0</v>
      </c>
      <c r="S25" s="239"/>
      <c r="T25" s="239"/>
      <c r="U25" s="239"/>
      <c r="V25" s="240"/>
      <c r="W25" s="250">
        <f>SUM(W16:AA16,W18:AA18,W20:AA20,W22:AA22,W24:AA24)</f>
        <v>100000</v>
      </c>
      <c r="X25" s="239"/>
      <c r="Y25" s="239"/>
      <c r="Z25" s="239"/>
      <c r="AA25" s="240"/>
      <c r="AB25" s="250">
        <f>SUM(AB16:AF16,AB18:AF18,AB20:AF20,AB22:AF22,AB24:AF24)</f>
        <v>200000</v>
      </c>
      <c r="AC25" s="239"/>
      <c r="AD25" s="239"/>
      <c r="AE25" s="239"/>
      <c r="AF25" s="240"/>
      <c r="AG25" s="250">
        <f>SUM(AG16:AK16,AG18:AK18,AG20:AK20,AG22:AK22,AG24:AK24)</f>
        <v>300000</v>
      </c>
      <c r="AH25" s="239"/>
      <c r="AI25" s="239"/>
      <c r="AJ25" s="239"/>
      <c r="AK25" s="240"/>
      <c r="AL25" s="250">
        <f>SUM(AL16:AP16,AL18:AP18,AL20:AP20,AL22:AP22,AL24:AP24)</f>
        <v>300000</v>
      </c>
      <c r="AM25" s="239"/>
      <c r="AN25" s="239"/>
      <c r="AO25" s="239"/>
      <c r="AP25" s="240"/>
      <c r="AQ25" s="250">
        <f>SUM(AQ16:AU16,AQ18:AU18,AQ20:AU20,AQ22:AU22,AQ24:AU24)</f>
        <v>300000</v>
      </c>
      <c r="AR25" s="239"/>
      <c r="AS25" s="239"/>
      <c r="AT25" s="239"/>
      <c r="AU25" s="240"/>
      <c r="AV25" s="250">
        <f>SUM(AV16:AZ16,AV18:AZ18,AV20:AZ20,AV22:AZ22,AV24:AZ24)</f>
        <v>300000</v>
      </c>
      <c r="AW25" s="239"/>
      <c r="AX25" s="239"/>
      <c r="AY25" s="239"/>
      <c r="AZ25" s="240"/>
      <c r="BA25" s="250">
        <f>SUM(BA16:BE16,BA18:BE18,BA20:BE20,BA22:BE22,BA24:BE24)</f>
        <v>300000</v>
      </c>
      <c r="BB25" s="239"/>
      <c r="BC25" s="239"/>
      <c r="BD25" s="239"/>
      <c r="BE25" s="240"/>
    </row>
    <row r="26" spans="1:57" ht="15" customHeight="1">
      <c r="A26" s="266" t="s">
        <v>423</v>
      </c>
      <c r="B26" s="213" t="s">
        <v>417</v>
      </c>
      <c r="C26" s="213" t="s">
        <v>417</v>
      </c>
      <c r="D26" s="214"/>
      <c r="E26" s="214"/>
      <c r="F26" s="214"/>
      <c r="G26" s="214"/>
      <c r="H26" s="213" t="s">
        <v>418</v>
      </c>
      <c r="I26" s="214"/>
      <c r="J26" s="214"/>
      <c r="K26" s="214"/>
      <c r="L26" s="214"/>
      <c r="M26" s="213" t="s">
        <v>418</v>
      </c>
      <c r="N26" s="214"/>
      <c r="O26" s="214"/>
      <c r="P26" s="214"/>
      <c r="Q26" s="214"/>
      <c r="R26" s="213" t="s">
        <v>418</v>
      </c>
      <c r="S26" s="214"/>
      <c r="T26" s="214"/>
      <c r="U26" s="214"/>
      <c r="V26" s="214"/>
      <c r="W26" s="213" t="s">
        <v>418</v>
      </c>
      <c r="X26" s="214"/>
      <c r="Y26" s="214"/>
      <c r="Z26" s="214"/>
      <c r="AA26" s="214"/>
      <c r="AB26" s="213" t="s">
        <v>418</v>
      </c>
      <c r="AC26" s="214"/>
      <c r="AD26" s="214"/>
      <c r="AE26" s="214"/>
      <c r="AF26" s="214"/>
      <c r="AG26" s="213" t="s">
        <v>418</v>
      </c>
      <c r="AH26" s="214"/>
      <c r="AI26" s="214"/>
      <c r="AJ26" s="214"/>
      <c r="AK26" s="214"/>
      <c r="AL26" s="213" t="s">
        <v>418</v>
      </c>
      <c r="AM26" s="214"/>
      <c r="AN26" s="214"/>
      <c r="AO26" s="214"/>
      <c r="AP26" s="214"/>
      <c r="AQ26" s="213" t="s">
        <v>418</v>
      </c>
      <c r="AR26" s="214"/>
      <c r="AS26" s="214"/>
      <c r="AT26" s="214"/>
      <c r="AU26" s="214"/>
      <c r="AV26" s="213" t="s">
        <v>418</v>
      </c>
      <c r="AW26" s="214"/>
      <c r="AX26" s="214"/>
      <c r="AY26" s="214"/>
      <c r="AZ26" s="214"/>
      <c r="BA26" s="213" t="s">
        <v>418</v>
      </c>
      <c r="BB26" s="214"/>
      <c r="BC26" s="215"/>
      <c r="BD26" s="215"/>
      <c r="BE26" s="215"/>
    </row>
    <row r="27" spans="1:57" ht="15" customHeight="1">
      <c r="A27" s="259"/>
      <c r="B27" s="213" t="s">
        <v>419</v>
      </c>
      <c r="C27" s="213" t="s">
        <v>418</v>
      </c>
      <c r="D27" s="213" t="s">
        <v>422</v>
      </c>
      <c r="E27" s="213"/>
      <c r="F27" s="213"/>
      <c r="G27" s="213"/>
      <c r="H27" s="213" t="s">
        <v>418</v>
      </c>
      <c r="I27" s="213" t="s">
        <v>422</v>
      </c>
      <c r="J27" s="213"/>
      <c r="K27" s="213"/>
      <c r="L27" s="213"/>
      <c r="M27" s="213" t="s">
        <v>418</v>
      </c>
      <c r="N27" s="213" t="s">
        <v>422</v>
      </c>
      <c r="O27" s="213"/>
      <c r="P27" s="213"/>
      <c r="Q27" s="213"/>
      <c r="R27" s="213" t="s">
        <v>418</v>
      </c>
      <c r="S27" s="213" t="s">
        <v>422</v>
      </c>
      <c r="T27" s="213"/>
      <c r="U27" s="213"/>
      <c r="V27" s="213"/>
      <c r="W27" s="213" t="s">
        <v>418</v>
      </c>
      <c r="X27" s="213"/>
      <c r="Y27" s="213"/>
      <c r="Z27" s="213"/>
      <c r="AA27" s="213"/>
      <c r="AB27" s="213" t="s">
        <v>418</v>
      </c>
      <c r="AC27" s="213" t="s">
        <v>758</v>
      </c>
      <c r="AD27" s="213"/>
      <c r="AE27" s="213"/>
      <c r="AF27" s="213"/>
      <c r="AG27" s="213" t="s">
        <v>418</v>
      </c>
      <c r="AH27" s="213"/>
      <c r="AI27" s="213"/>
      <c r="AJ27" s="213"/>
      <c r="AK27" s="213"/>
      <c r="AL27" s="213" t="s">
        <v>418</v>
      </c>
      <c r="AM27" s="213"/>
      <c r="AN27" s="213"/>
      <c r="AO27" s="213"/>
      <c r="AP27" s="213"/>
      <c r="AQ27" s="213" t="s">
        <v>418</v>
      </c>
      <c r="AR27" s="213"/>
      <c r="AS27" s="213"/>
      <c r="AT27" s="213"/>
      <c r="AU27" s="213"/>
      <c r="AV27" s="213" t="s">
        <v>418</v>
      </c>
      <c r="AW27" s="213"/>
      <c r="AX27" s="213"/>
      <c r="AY27" s="213"/>
      <c r="AZ27" s="213"/>
      <c r="BA27" s="213" t="s">
        <v>418</v>
      </c>
      <c r="BB27" s="213"/>
      <c r="BC27" s="212"/>
      <c r="BD27" s="212"/>
      <c r="BE27" s="212"/>
    </row>
    <row r="28" spans="1:57" ht="15" customHeight="1">
      <c r="A28" s="259"/>
      <c r="B28" s="214"/>
      <c r="C28" s="213">
        <v>1200000</v>
      </c>
      <c r="D28" s="213">
        <v>100000</v>
      </c>
      <c r="E28" s="213"/>
      <c r="F28" s="213"/>
      <c r="G28" s="213"/>
      <c r="H28" s="213">
        <f>C37</f>
        <v>1300000</v>
      </c>
      <c r="I28" s="213">
        <v>100000</v>
      </c>
      <c r="J28" s="213"/>
      <c r="K28" s="213"/>
      <c r="L28" s="213"/>
      <c r="M28" s="213">
        <f>H37</f>
        <v>1400000</v>
      </c>
      <c r="N28" s="213">
        <v>100000</v>
      </c>
      <c r="O28" s="213"/>
      <c r="P28" s="213"/>
      <c r="Q28" s="213"/>
      <c r="R28" s="213">
        <f>M37</f>
        <v>1500000</v>
      </c>
      <c r="S28" s="213">
        <v>100000</v>
      </c>
      <c r="T28" s="213"/>
      <c r="U28" s="213"/>
      <c r="V28" s="213"/>
      <c r="W28" s="213">
        <f>R37</f>
        <v>1600000</v>
      </c>
      <c r="X28" s="213"/>
      <c r="Y28" s="213"/>
      <c r="Z28" s="213"/>
      <c r="AA28" s="213"/>
      <c r="AB28" s="213">
        <f>W37</f>
        <v>1600000</v>
      </c>
      <c r="AC28" s="213">
        <v>-300000</v>
      </c>
      <c r="AD28" s="213"/>
      <c r="AE28" s="213"/>
      <c r="AF28" s="213"/>
      <c r="AG28" s="213">
        <f>AB37</f>
        <v>1300000</v>
      </c>
      <c r="AH28" s="213"/>
      <c r="AI28" s="213"/>
      <c r="AJ28" s="213"/>
      <c r="AK28" s="213"/>
      <c r="AL28" s="213">
        <f>AG37</f>
        <v>1400000</v>
      </c>
      <c r="AM28" s="213"/>
      <c r="AN28" s="213"/>
      <c r="AO28" s="213"/>
      <c r="AP28" s="213"/>
      <c r="AQ28" s="213">
        <f>AL37</f>
        <v>1400000</v>
      </c>
      <c r="AR28" s="213"/>
      <c r="AS28" s="213"/>
      <c r="AT28" s="213"/>
      <c r="AU28" s="213"/>
      <c r="AV28" s="213">
        <f>AQ37</f>
        <v>1400000</v>
      </c>
      <c r="AW28" s="213"/>
      <c r="AX28" s="213"/>
      <c r="AY28" s="213"/>
      <c r="AZ28" s="213"/>
      <c r="BA28" s="213">
        <f>AV37</f>
        <v>1400000</v>
      </c>
      <c r="BB28" s="213"/>
      <c r="BC28" s="212"/>
      <c r="BD28" s="212"/>
      <c r="BE28" s="212"/>
    </row>
    <row r="29" spans="1:57" ht="15" customHeight="1">
      <c r="A29" s="259"/>
      <c r="B29" s="213" t="s">
        <v>419</v>
      </c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 t="s">
        <v>776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2"/>
      <c r="BD29" s="212"/>
      <c r="BE29" s="212"/>
    </row>
    <row r="30" spans="1:57" ht="15" customHeight="1">
      <c r="A30" s="259"/>
      <c r="B30" s="214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>
        <v>100000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2"/>
      <c r="BD30" s="212"/>
      <c r="BE30" s="212"/>
    </row>
    <row r="31" spans="1:57" ht="15" customHeight="1">
      <c r="A31" s="259"/>
      <c r="B31" s="213" t="s">
        <v>419</v>
      </c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2"/>
      <c r="BD31" s="212"/>
      <c r="BE31" s="212"/>
    </row>
    <row r="32" spans="1:57" ht="15" customHeight="1">
      <c r="A32" s="259"/>
      <c r="B32" s="214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2"/>
      <c r="BD32" s="212"/>
      <c r="BE32" s="212"/>
    </row>
    <row r="33" spans="1:57" ht="15" customHeight="1">
      <c r="A33" s="259"/>
      <c r="B33" s="213" t="s">
        <v>419</v>
      </c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  <c r="BC33" s="212"/>
      <c r="BD33" s="212"/>
      <c r="BE33" s="212"/>
    </row>
    <row r="34" spans="1:57" ht="15" customHeight="1">
      <c r="A34" s="259"/>
      <c r="B34" s="214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2"/>
      <c r="BD34" s="212"/>
      <c r="BE34" s="212"/>
    </row>
    <row r="35" spans="1:57" ht="19.2">
      <c r="A35" s="259"/>
      <c r="B35" s="213" t="s">
        <v>419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2"/>
      <c r="BD35" s="212"/>
      <c r="BE35" s="212"/>
    </row>
    <row r="36" spans="1:57" ht="19.2">
      <c r="A36" s="260"/>
      <c r="B36" s="214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2"/>
      <c r="BD36" s="212"/>
      <c r="BE36" s="212"/>
    </row>
    <row r="37" spans="1:57" ht="15" customHeight="1">
      <c r="A37" s="227" t="s">
        <v>417</v>
      </c>
      <c r="B37" s="226"/>
      <c r="C37" s="248">
        <f>SUM(C28:G28,C30:G30,C32:G32,C34:G34,C36:G36)</f>
        <v>1300000</v>
      </c>
      <c r="D37" s="239"/>
      <c r="E37" s="239"/>
      <c r="F37" s="239"/>
      <c r="G37" s="240"/>
      <c r="H37" s="248">
        <f>SUM(H28:L28,H30:L30,H32:L32,H34:L34,H36:L36)</f>
        <v>1400000</v>
      </c>
      <c r="I37" s="239"/>
      <c r="J37" s="239"/>
      <c r="K37" s="239"/>
      <c r="L37" s="240"/>
      <c r="M37" s="248">
        <f>SUM(M28:Q28,M30:Q30,M32:Q32,M34:Q34,M36:Q36)</f>
        <v>1500000</v>
      </c>
      <c r="N37" s="239"/>
      <c r="O37" s="239"/>
      <c r="P37" s="239"/>
      <c r="Q37" s="240"/>
      <c r="R37" s="248">
        <f>SUM(R28:V28,R30:V30,R32:V32,R34:V34,R36:V36)</f>
        <v>1600000</v>
      </c>
      <c r="S37" s="239"/>
      <c r="T37" s="239"/>
      <c r="U37" s="239"/>
      <c r="V37" s="240"/>
      <c r="W37" s="248">
        <f>SUM(W28:AA28,W30:AA30,W32:AA32,W34:AA34,W36:AA36)</f>
        <v>1600000</v>
      </c>
      <c r="X37" s="239"/>
      <c r="Y37" s="239"/>
      <c r="Z37" s="239"/>
      <c r="AA37" s="240"/>
      <c r="AB37" s="248">
        <f>SUM(AB28:AF28,AB30:AF30,AB32:AF32,AB34:AF34,AB36:AF36)</f>
        <v>1300000</v>
      </c>
      <c r="AC37" s="239"/>
      <c r="AD37" s="239"/>
      <c r="AE37" s="239"/>
      <c r="AF37" s="240"/>
      <c r="AG37" s="248">
        <f>SUM(AG28:AK28,AG30:AK30,AG32:AK32,AG34:AK34,AG36:AK36)</f>
        <v>1400000</v>
      </c>
      <c r="AH37" s="239"/>
      <c r="AI37" s="239"/>
      <c r="AJ37" s="239"/>
      <c r="AK37" s="240"/>
      <c r="AL37" s="248">
        <f>SUM(AL28:AP28,AL30:AP30,AL32:AP32,AL34:AP34,AL36:AP36)</f>
        <v>1400000</v>
      </c>
      <c r="AM37" s="239"/>
      <c r="AN37" s="239"/>
      <c r="AO37" s="239"/>
      <c r="AP37" s="240"/>
      <c r="AQ37" s="248">
        <f>SUM(AQ28:AU28,AQ30:AU30,AQ32:AU32,AQ34:AU34,AQ36:AU36)</f>
        <v>1400000</v>
      </c>
      <c r="AR37" s="239"/>
      <c r="AS37" s="239"/>
      <c r="AT37" s="239"/>
      <c r="AU37" s="240"/>
      <c r="AV37" s="248">
        <f>SUM(AV28:AZ28,AV30:AZ30,AV32:AZ32,AV34:AZ34,AV36:AZ36)</f>
        <v>1400000</v>
      </c>
      <c r="AW37" s="239"/>
      <c r="AX37" s="239"/>
      <c r="AY37" s="239"/>
      <c r="AZ37" s="240"/>
      <c r="BA37" s="248">
        <f>SUM(BA28:BE28,BA30:BE30,BA32:BE32,BA34:BE34,BA36:BE36)</f>
        <v>1400000</v>
      </c>
      <c r="BB37" s="239"/>
      <c r="BC37" s="239"/>
      <c r="BD37" s="239"/>
      <c r="BE37" s="240"/>
    </row>
    <row r="38" spans="1:57" ht="15" customHeight="1">
      <c r="A38" s="268" t="s">
        <v>424</v>
      </c>
      <c r="B38" s="213" t="s">
        <v>417</v>
      </c>
      <c r="C38" s="213" t="s">
        <v>417</v>
      </c>
      <c r="D38" s="214"/>
      <c r="E38" s="214"/>
      <c r="F38" s="214"/>
      <c r="G38" s="214"/>
      <c r="H38" s="213" t="s">
        <v>418</v>
      </c>
      <c r="I38" s="214"/>
      <c r="J38" s="214"/>
      <c r="K38" s="214"/>
      <c r="L38" s="214"/>
      <c r="M38" s="213" t="s">
        <v>418</v>
      </c>
      <c r="N38" s="214"/>
      <c r="O38" s="214"/>
      <c r="P38" s="214"/>
      <c r="Q38" s="214"/>
      <c r="R38" s="213" t="s">
        <v>418</v>
      </c>
      <c r="S38" s="214"/>
      <c r="T38" s="214"/>
      <c r="U38" s="214"/>
      <c r="V38" s="214"/>
      <c r="W38" s="213" t="s">
        <v>418</v>
      </c>
      <c r="X38" s="214"/>
      <c r="Y38" s="214"/>
      <c r="Z38" s="214"/>
      <c r="AA38" s="214"/>
      <c r="AB38" s="213" t="s">
        <v>418</v>
      </c>
      <c r="AC38" s="214"/>
      <c r="AD38" s="214"/>
      <c r="AE38" s="214"/>
      <c r="AF38" s="214"/>
      <c r="AG38" s="213" t="s">
        <v>418</v>
      </c>
      <c r="AH38" s="214"/>
      <c r="AI38" s="214"/>
      <c r="AJ38" s="214"/>
      <c r="AK38" s="214"/>
      <c r="AL38" s="213" t="s">
        <v>418</v>
      </c>
      <c r="AM38" s="214"/>
      <c r="AN38" s="214"/>
      <c r="AO38" s="214"/>
      <c r="AP38" s="214"/>
      <c r="AQ38" s="213" t="s">
        <v>418</v>
      </c>
      <c r="AR38" s="214"/>
      <c r="AS38" s="214"/>
      <c r="AT38" s="214"/>
      <c r="AU38" s="214"/>
      <c r="AV38" s="213" t="s">
        <v>418</v>
      </c>
      <c r="AW38" s="214"/>
      <c r="AX38" s="214"/>
      <c r="AY38" s="214"/>
      <c r="AZ38" s="214"/>
      <c r="BA38" s="213" t="s">
        <v>418</v>
      </c>
      <c r="BB38" s="214"/>
      <c r="BC38" s="215"/>
      <c r="BD38" s="215"/>
      <c r="BE38" s="215"/>
    </row>
    <row r="39" spans="1:57" ht="15" customHeight="1">
      <c r="A39" s="259"/>
      <c r="B39" s="213" t="s">
        <v>419</v>
      </c>
      <c r="C39" s="213" t="s">
        <v>418</v>
      </c>
      <c r="D39" s="213" t="s">
        <v>422</v>
      </c>
      <c r="E39" s="213"/>
      <c r="F39" s="213"/>
      <c r="G39" s="213"/>
      <c r="H39" s="213" t="s">
        <v>418</v>
      </c>
      <c r="I39" s="213" t="s">
        <v>422</v>
      </c>
      <c r="J39" s="213"/>
      <c r="K39" s="213"/>
      <c r="L39" s="213"/>
      <c r="M39" s="213" t="s">
        <v>418</v>
      </c>
      <c r="N39" s="213" t="s">
        <v>728</v>
      </c>
      <c r="O39" s="213" t="s">
        <v>493</v>
      </c>
      <c r="P39" s="213"/>
      <c r="Q39" s="213"/>
      <c r="R39" s="213" t="s">
        <v>418</v>
      </c>
      <c r="S39" s="213" t="s">
        <v>422</v>
      </c>
      <c r="T39" s="213"/>
      <c r="U39" s="213"/>
      <c r="V39" s="213"/>
      <c r="W39" s="213" t="s">
        <v>418</v>
      </c>
      <c r="X39" s="213" t="s">
        <v>422</v>
      </c>
      <c r="Y39" s="213"/>
      <c r="Z39" s="213"/>
      <c r="AA39" s="213"/>
      <c r="AB39" s="213" t="s">
        <v>418</v>
      </c>
      <c r="AC39" s="213" t="s">
        <v>422</v>
      </c>
      <c r="AD39" s="213"/>
      <c r="AE39" s="213"/>
      <c r="AF39" s="213"/>
      <c r="AG39" s="213" t="s">
        <v>418</v>
      </c>
      <c r="AH39" s="213"/>
      <c r="AI39" s="213"/>
      <c r="AJ39" s="213"/>
      <c r="AK39" s="213"/>
      <c r="AL39" s="213" t="s">
        <v>418</v>
      </c>
      <c r="AM39" s="213"/>
      <c r="AN39" s="213"/>
      <c r="AO39" s="213"/>
      <c r="AP39" s="213"/>
      <c r="AQ39" s="213" t="s">
        <v>418</v>
      </c>
      <c r="AR39" s="213"/>
      <c r="AS39" s="213"/>
      <c r="AT39" s="213"/>
      <c r="AU39" s="213"/>
      <c r="AV39" s="213" t="s">
        <v>418</v>
      </c>
      <c r="AW39" s="213"/>
      <c r="AX39" s="213"/>
      <c r="AY39" s="213"/>
      <c r="AZ39" s="213"/>
      <c r="BA39" s="213" t="s">
        <v>418</v>
      </c>
      <c r="BB39" s="213"/>
      <c r="BC39" s="212"/>
      <c r="BD39" s="212"/>
      <c r="BE39" s="212"/>
    </row>
    <row r="40" spans="1:57" ht="15" customHeight="1">
      <c r="A40" s="259"/>
      <c r="B40" s="214"/>
      <c r="C40" s="213">
        <v>50000</v>
      </c>
      <c r="D40" s="213">
        <v>50000</v>
      </c>
      <c r="E40" s="213"/>
      <c r="F40" s="213"/>
      <c r="G40" s="213"/>
      <c r="H40" s="213">
        <f>C49</f>
        <v>100000</v>
      </c>
      <c r="I40" s="213">
        <v>100000</v>
      </c>
      <c r="J40" s="213"/>
      <c r="K40" s="213"/>
      <c r="L40" s="213"/>
      <c r="M40" s="213">
        <f>H49</f>
        <v>200000</v>
      </c>
      <c r="N40" s="213">
        <f>-(49900+99000)</f>
        <v>-148900</v>
      </c>
      <c r="O40" s="213">
        <v>-51100</v>
      </c>
      <c r="P40" s="213"/>
      <c r="Q40" s="213"/>
      <c r="R40" s="213">
        <f>M49</f>
        <v>50000</v>
      </c>
      <c r="S40" s="213">
        <v>50000</v>
      </c>
      <c r="T40" s="213"/>
      <c r="U40" s="213"/>
      <c r="V40" s="213"/>
      <c r="W40" s="213">
        <f>R49</f>
        <v>100000</v>
      </c>
      <c r="X40" s="213">
        <v>100000</v>
      </c>
      <c r="Y40" s="213"/>
      <c r="Z40" s="213"/>
      <c r="AA40" s="213"/>
      <c r="AB40" s="213">
        <f>W49</f>
        <v>200000</v>
      </c>
      <c r="AC40" s="213">
        <v>100000</v>
      </c>
      <c r="AD40" s="213"/>
      <c r="AE40" s="213"/>
      <c r="AF40" s="213"/>
      <c r="AG40" s="213">
        <f>AB49</f>
        <v>300000</v>
      </c>
      <c r="AH40" s="213"/>
      <c r="AI40" s="213"/>
      <c r="AJ40" s="213"/>
      <c r="AK40" s="213"/>
      <c r="AL40" s="213">
        <f>AG49</f>
        <v>0</v>
      </c>
      <c r="AM40" s="213"/>
      <c r="AN40" s="213"/>
      <c r="AO40" s="213"/>
      <c r="AP40" s="213"/>
      <c r="AQ40" s="213">
        <f>AL49</f>
        <v>0</v>
      </c>
      <c r="AR40" s="213"/>
      <c r="AS40" s="213"/>
      <c r="AT40" s="213"/>
      <c r="AU40" s="213"/>
      <c r="AV40" s="213">
        <f>AQ49</f>
        <v>0</v>
      </c>
      <c r="AW40" s="213"/>
      <c r="AX40" s="213"/>
      <c r="AY40" s="213"/>
      <c r="AZ40" s="213"/>
      <c r="BA40" s="213">
        <f>AV49</f>
        <v>0</v>
      </c>
      <c r="BB40" s="213"/>
      <c r="BC40" s="212"/>
      <c r="BD40" s="212"/>
      <c r="BE40" s="212"/>
    </row>
    <row r="41" spans="1:57" ht="15" customHeight="1">
      <c r="A41" s="259"/>
      <c r="B41" s="213" t="s">
        <v>419</v>
      </c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 t="s">
        <v>422</v>
      </c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 t="s">
        <v>771</v>
      </c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2"/>
      <c r="BD41" s="212"/>
      <c r="BE41" s="212"/>
    </row>
    <row r="42" spans="1:57" ht="15" customHeight="1">
      <c r="A42" s="259"/>
      <c r="B42" s="214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>
        <v>50000</v>
      </c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>
        <v>-200000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2"/>
      <c r="BD42" s="212"/>
      <c r="BE42" s="212"/>
    </row>
    <row r="43" spans="1:57" ht="15" customHeight="1">
      <c r="A43" s="259"/>
      <c r="B43" s="213" t="s">
        <v>419</v>
      </c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 t="s">
        <v>778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2"/>
      <c r="BD43" s="212"/>
      <c r="BE43" s="212"/>
    </row>
    <row r="44" spans="1:57" ht="15" customHeight="1">
      <c r="A44" s="259"/>
      <c r="B44" s="214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>
        <v>-100000</v>
      </c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2"/>
      <c r="BD44" s="212"/>
      <c r="BE44" s="212"/>
    </row>
    <row r="45" spans="1:57" ht="15" customHeight="1">
      <c r="A45" s="259"/>
      <c r="B45" s="213" t="s">
        <v>419</v>
      </c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2"/>
      <c r="BD45" s="212"/>
      <c r="BE45" s="212"/>
    </row>
    <row r="46" spans="1:57" ht="15" customHeight="1">
      <c r="A46" s="259"/>
      <c r="B46" s="214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2"/>
      <c r="BD46" s="212"/>
      <c r="BE46" s="212"/>
    </row>
    <row r="47" spans="1:57" ht="19.2">
      <c r="A47" s="259"/>
      <c r="B47" s="213" t="s">
        <v>419</v>
      </c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2"/>
      <c r="BD47" s="212"/>
      <c r="BE47" s="212"/>
    </row>
    <row r="48" spans="1:57" ht="19.2">
      <c r="A48" s="260"/>
      <c r="B48" s="214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2"/>
      <c r="BD48" s="212"/>
      <c r="BE48" s="212"/>
    </row>
    <row r="49" spans="1:57" ht="15" customHeight="1">
      <c r="A49" s="225" t="s">
        <v>417</v>
      </c>
      <c r="B49" s="224"/>
      <c r="C49" s="247">
        <f>SUM(C40:G40,C42:G42,C44:G44,C46:G46,C48:G48)</f>
        <v>100000</v>
      </c>
      <c r="D49" s="239"/>
      <c r="E49" s="239"/>
      <c r="F49" s="239"/>
      <c r="G49" s="240"/>
      <c r="H49" s="247">
        <f>SUM(H40:L40,H42:L42,H44:L44,H46:L46,H48:L48)</f>
        <v>200000</v>
      </c>
      <c r="I49" s="239"/>
      <c r="J49" s="239"/>
      <c r="K49" s="239"/>
      <c r="L49" s="240"/>
      <c r="M49" s="247">
        <f>SUM(M40:Q40,M42:Q42,M44:Q44,M46:Q46,M48:Q48)</f>
        <v>50000</v>
      </c>
      <c r="N49" s="239"/>
      <c r="O49" s="239"/>
      <c r="P49" s="239"/>
      <c r="Q49" s="240"/>
      <c r="R49" s="247">
        <f>SUM(R40:V40,R42:V42,R44:V44,R46:V46,R48:V48)</f>
        <v>100000</v>
      </c>
      <c r="S49" s="239"/>
      <c r="T49" s="239"/>
      <c r="U49" s="239"/>
      <c r="V49" s="240"/>
      <c r="W49" s="247">
        <f>SUM(W40:AA40,W42:AA42,W44:AA44,W46:AA46,W48:AA48)</f>
        <v>200000</v>
      </c>
      <c r="X49" s="239"/>
      <c r="Y49" s="239"/>
      <c r="Z49" s="239"/>
      <c r="AA49" s="240"/>
      <c r="AB49" s="247">
        <f>SUM(AB40:AF40,AB42:AF42,AB44:AF44,AB46:AF46,AB48:AF48)</f>
        <v>300000</v>
      </c>
      <c r="AC49" s="239"/>
      <c r="AD49" s="239"/>
      <c r="AE49" s="239"/>
      <c r="AF49" s="240"/>
      <c r="AG49" s="247">
        <f>SUM(AG40:AK40,AG42:AK42,AG44:AK44,AG46:AK46,AG48:AK48)</f>
        <v>0</v>
      </c>
      <c r="AH49" s="239"/>
      <c r="AI49" s="239"/>
      <c r="AJ49" s="239"/>
      <c r="AK49" s="240"/>
      <c r="AL49" s="247">
        <f>SUM(AL40:AP40,AL42:AP42,AL44:AP44,AL46:AP46,AL48:AP48)</f>
        <v>0</v>
      </c>
      <c r="AM49" s="239"/>
      <c r="AN49" s="239"/>
      <c r="AO49" s="239"/>
      <c r="AP49" s="240"/>
      <c r="AQ49" s="247">
        <f>SUM(AQ40:AU40,AQ42:AU42,AQ44:AU44,AQ46:AU46,AQ48:AU48)</f>
        <v>0</v>
      </c>
      <c r="AR49" s="239"/>
      <c r="AS49" s="239"/>
      <c r="AT49" s="239"/>
      <c r="AU49" s="240"/>
      <c r="AV49" s="247">
        <f>SUM(AV40:AZ40,AV42:AZ42,AV44:AZ44,AV46:AZ46,AV48:AZ48)</f>
        <v>0</v>
      </c>
      <c r="AW49" s="239"/>
      <c r="AX49" s="239"/>
      <c r="AY49" s="239"/>
      <c r="AZ49" s="240"/>
      <c r="BA49" s="247">
        <f>SUM(BA40:BE40,BA42:BE42,BA44:BE44,BA46:BE46,BA48:BE48)</f>
        <v>0</v>
      </c>
      <c r="BB49" s="239"/>
      <c r="BC49" s="239"/>
      <c r="BD49" s="239"/>
      <c r="BE49" s="240"/>
    </row>
    <row r="50" spans="1:57" ht="15" customHeight="1">
      <c r="A50" s="269" t="s">
        <v>425</v>
      </c>
      <c r="B50" s="213" t="s">
        <v>417</v>
      </c>
      <c r="C50" s="213" t="s">
        <v>417</v>
      </c>
      <c r="D50" s="214"/>
      <c r="E50" s="214"/>
      <c r="F50" s="214"/>
      <c r="G50" s="214"/>
      <c r="H50" s="213" t="s">
        <v>418</v>
      </c>
      <c r="I50" s="214"/>
      <c r="J50" s="214"/>
      <c r="K50" s="214"/>
      <c r="L50" s="214"/>
      <c r="M50" s="213" t="s">
        <v>418</v>
      </c>
      <c r="N50" s="214"/>
      <c r="O50" s="214"/>
      <c r="P50" s="214"/>
      <c r="Q50" s="214"/>
      <c r="R50" s="213" t="s">
        <v>418</v>
      </c>
      <c r="S50" s="214"/>
      <c r="T50" s="214"/>
      <c r="U50" s="214"/>
      <c r="V50" s="214"/>
      <c r="W50" s="213" t="s">
        <v>418</v>
      </c>
      <c r="X50" s="214"/>
      <c r="Y50" s="214"/>
      <c r="Z50" s="214"/>
      <c r="AA50" s="214"/>
      <c r="AB50" s="213" t="s">
        <v>418</v>
      </c>
      <c r="AC50" s="214"/>
      <c r="AD50" s="214"/>
      <c r="AE50" s="214"/>
      <c r="AF50" s="214"/>
      <c r="AG50" s="213" t="s">
        <v>418</v>
      </c>
      <c r="AH50" s="214"/>
      <c r="AI50" s="214"/>
      <c r="AJ50" s="214"/>
      <c r="AK50" s="214"/>
      <c r="AL50" s="213" t="s">
        <v>418</v>
      </c>
      <c r="AM50" s="214"/>
      <c r="AN50" s="214"/>
      <c r="AO50" s="214"/>
      <c r="AP50" s="214"/>
      <c r="AQ50" s="213" t="s">
        <v>418</v>
      </c>
      <c r="AR50" s="214"/>
      <c r="AS50" s="214"/>
      <c r="AT50" s="214"/>
      <c r="AU50" s="214"/>
      <c r="AV50" s="213" t="s">
        <v>418</v>
      </c>
      <c r="AW50" s="214"/>
      <c r="AX50" s="214"/>
      <c r="AY50" s="214"/>
      <c r="AZ50" s="214"/>
      <c r="BA50" s="213" t="s">
        <v>418</v>
      </c>
      <c r="BB50" s="214"/>
      <c r="BC50" s="215"/>
      <c r="BD50" s="215"/>
      <c r="BE50" s="215"/>
    </row>
    <row r="51" spans="1:57" ht="15" customHeight="1">
      <c r="A51" s="259"/>
      <c r="B51" s="213" t="s">
        <v>419</v>
      </c>
      <c r="C51" s="213" t="s">
        <v>418</v>
      </c>
      <c r="D51" s="213"/>
      <c r="E51" s="213"/>
      <c r="F51" s="213"/>
      <c r="G51" s="213"/>
      <c r="H51" s="213" t="s">
        <v>418</v>
      </c>
      <c r="I51" s="213"/>
      <c r="J51" s="213"/>
      <c r="K51" s="213"/>
      <c r="L51" s="213"/>
      <c r="M51" s="213" t="s">
        <v>418</v>
      </c>
      <c r="N51" s="213" t="s">
        <v>422</v>
      </c>
      <c r="O51" s="213"/>
      <c r="P51" s="213"/>
      <c r="Q51" s="213"/>
      <c r="R51" s="213" t="s">
        <v>418</v>
      </c>
      <c r="S51" s="213" t="s">
        <v>422</v>
      </c>
      <c r="T51" s="213"/>
      <c r="U51" s="213"/>
      <c r="V51" s="213"/>
      <c r="W51" s="213" t="s">
        <v>418</v>
      </c>
      <c r="X51" s="213" t="s">
        <v>422</v>
      </c>
      <c r="Y51" s="213"/>
      <c r="Z51" s="213"/>
      <c r="AA51" s="213"/>
      <c r="AB51" s="213" t="s">
        <v>418</v>
      </c>
      <c r="AC51" s="213" t="s">
        <v>422</v>
      </c>
      <c r="AD51" s="213"/>
      <c r="AE51" s="213"/>
      <c r="AF51" s="213"/>
      <c r="AG51" s="213" t="s">
        <v>418</v>
      </c>
      <c r="AH51" s="213"/>
      <c r="AI51" s="213"/>
      <c r="AJ51" s="213"/>
      <c r="AK51" s="213"/>
      <c r="AL51" s="213" t="s">
        <v>418</v>
      </c>
      <c r="AM51" s="213"/>
      <c r="AN51" s="213"/>
      <c r="AO51" s="213"/>
      <c r="AP51" s="213"/>
      <c r="AQ51" s="213" t="s">
        <v>418</v>
      </c>
      <c r="AR51" s="213"/>
      <c r="AS51" s="213"/>
      <c r="AT51" s="213"/>
      <c r="AU51" s="213"/>
      <c r="AV51" s="213" t="s">
        <v>418</v>
      </c>
      <c r="AW51" s="213"/>
      <c r="AX51" s="213"/>
      <c r="AY51" s="213"/>
      <c r="AZ51" s="213"/>
      <c r="BA51" s="213" t="s">
        <v>418</v>
      </c>
      <c r="BB51" s="213"/>
      <c r="BC51" s="212"/>
      <c r="BD51" s="212"/>
      <c r="BE51" s="212"/>
    </row>
    <row r="52" spans="1:57" ht="15" customHeight="1">
      <c r="A52" s="259"/>
      <c r="B52" s="214"/>
      <c r="C52" s="213"/>
      <c r="D52" s="213"/>
      <c r="E52" s="213"/>
      <c r="F52" s="213"/>
      <c r="G52" s="213"/>
      <c r="H52" s="213">
        <f>C61</f>
        <v>0</v>
      </c>
      <c r="I52" s="213"/>
      <c r="J52" s="213"/>
      <c r="K52" s="213"/>
      <c r="L52" s="213"/>
      <c r="M52" s="213">
        <f>H61</f>
        <v>0</v>
      </c>
      <c r="N52" s="213">
        <v>50000</v>
      </c>
      <c r="O52" s="213"/>
      <c r="P52" s="213"/>
      <c r="Q52" s="213"/>
      <c r="R52" s="213">
        <f>M61</f>
        <v>50000</v>
      </c>
      <c r="S52" s="213">
        <v>50000</v>
      </c>
      <c r="T52" s="213"/>
      <c r="U52" s="213"/>
      <c r="V52" s="213"/>
      <c r="W52" s="213">
        <f>R61</f>
        <v>100000</v>
      </c>
      <c r="X52" s="213">
        <v>50000</v>
      </c>
      <c r="Y52" s="213"/>
      <c r="Z52" s="213"/>
      <c r="AA52" s="213"/>
      <c r="AB52" s="213">
        <f>W61</f>
        <v>150000</v>
      </c>
      <c r="AC52" s="213">
        <v>50000</v>
      </c>
      <c r="AD52" s="213"/>
      <c r="AE52" s="213"/>
      <c r="AF52" s="213"/>
      <c r="AG52" s="213">
        <f>AB61</f>
        <v>200000</v>
      </c>
      <c r="AH52" s="213"/>
      <c r="AI52" s="213"/>
      <c r="AJ52" s="213"/>
      <c r="AK52" s="213"/>
      <c r="AL52" s="213">
        <f>AG61</f>
        <v>450000</v>
      </c>
      <c r="AM52" s="213"/>
      <c r="AN52" s="213"/>
      <c r="AO52" s="213"/>
      <c r="AP52" s="213"/>
      <c r="AQ52" s="213">
        <f>AL61</f>
        <v>450000</v>
      </c>
      <c r="AR52" s="213"/>
      <c r="AS52" s="213"/>
      <c r="AT52" s="213"/>
      <c r="AU52" s="213"/>
      <c r="AV52" s="213">
        <f>AQ61</f>
        <v>450000</v>
      </c>
      <c r="AW52" s="213"/>
      <c r="AX52" s="213"/>
      <c r="AY52" s="213"/>
      <c r="AZ52" s="213"/>
      <c r="BA52" s="213">
        <f>AV61</f>
        <v>450000</v>
      </c>
      <c r="BB52" s="213"/>
      <c r="BC52" s="212"/>
      <c r="BD52" s="212"/>
      <c r="BE52" s="212"/>
    </row>
    <row r="53" spans="1:57" ht="15" customHeight="1">
      <c r="A53" s="259"/>
      <c r="B53" s="213" t="s">
        <v>419</v>
      </c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 t="s">
        <v>762</v>
      </c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  <c r="BC53" s="212"/>
      <c r="BD53" s="212"/>
      <c r="BE53" s="212"/>
    </row>
    <row r="54" spans="1:57" ht="15" customHeight="1">
      <c r="A54" s="259"/>
      <c r="B54" s="214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>
        <v>100000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  <c r="BC54" s="212"/>
      <c r="BD54" s="212"/>
      <c r="BE54" s="212"/>
    </row>
    <row r="55" spans="1:57" ht="15" customHeight="1">
      <c r="A55" s="259"/>
      <c r="B55" s="213" t="s">
        <v>419</v>
      </c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 t="s">
        <v>770</v>
      </c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  <c r="BC55" s="212"/>
      <c r="BD55" s="212"/>
      <c r="BE55" s="212"/>
    </row>
    <row r="56" spans="1:57" ht="15" customHeight="1">
      <c r="A56" s="259"/>
      <c r="B56" s="214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>
        <v>-50000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  <c r="BC56" s="212"/>
      <c r="BD56" s="212"/>
      <c r="BE56" s="212"/>
    </row>
    <row r="57" spans="1:57" ht="15" customHeight="1">
      <c r="A57" s="259"/>
      <c r="B57" s="213" t="s">
        <v>419</v>
      </c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 t="s">
        <v>773</v>
      </c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  <c r="BC57" s="212"/>
      <c r="BD57" s="212"/>
      <c r="BE57" s="212"/>
    </row>
    <row r="58" spans="1:57" ht="15" customHeight="1">
      <c r="A58" s="259"/>
      <c r="B58" s="214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>
        <v>100000</v>
      </c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  <c r="BC58" s="212"/>
      <c r="BD58" s="212"/>
      <c r="BE58" s="212"/>
    </row>
    <row r="59" spans="1:57" ht="19.2">
      <c r="A59" s="259"/>
      <c r="B59" s="213" t="s">
        <v>419</v>
      </c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 t="s">
        <v>779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2"/>
      <c r="BD59" s="212"/>
      <c r="BE59" s="212"/>
    </row>
    <row r="60" spans="1:57" ht="19.2">
      <c r="A60" s="260"/>
      <c r="B60" s="214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>
        <v>100000</v>
      </c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  <c r="BC60" s="212"/>
      <c r="BD60" s="212"/>
      <c r="BE60" s="212"/>
    </row>
    <row r="61" spans="1:57" ht="15" customHeight="1">
      <c r="A61" s="223" t="s">
        <v>417</v>
      </c>
      <c r="B61" s="222"/>
      <c r="C61" s="249">
        <f>SUM(C52:G52,C54:G54,C56:G56,C58:G58,C60:G60)</f>
        <v>0</v>
      </c>
      <c r="D61" s="239"/>
      <c r="E61" s="239"/>
      <c r="F61" s="239"/>
      <c r="G61" s="240"/>
      <c r="H61" s="249">
        <f>SUM(H52:L52,H54:L54,H56:L56,H58:L58,H60:L60)</f>
        <v>0</v>
      </c>
      <c r="I61" s="239"/>
      <c r="J61" s="239"/>
      <c r="K61" s="239"/>
      <c r="L61" s="240"/>
      <c r="M61" s="249">
        <f>SUM(M52:Q52,M54:Q54,M56:Q56,M58:Q58,M60:Q60)</f>
        <v>50000</v>
      </c>
      <c r="N61" s="239"/>
      <c r="O61" s="239"/>
      <c r="P61" s="239"/>
      <c r="Q61" s="240"/>
      <c r="R61" s="249">
        <f>SUM(R52:V52,R54:V54,R56:V56,R58:V58,R60:V60)</f>
        <v>100000</v>
      </c>
      <c r="S61" s="239"/>
      <c r="T61" s="239"/>
      <c r="U61" s="239"/>
      <c r="V61" s="240"/>
      <c r="W61" s="249">
        <f>SUM(W52:AA52,W54:AA54,W56:AA56,W58:AA58,W60:AA60)</f>
        <v>150000</v>
      </c>
      <c r="X61" s="239"/>
      <c r="Y61" s="239"/>
      <c r="Z61" s="239"/>
      <c r="AA61" s="240"/>
      <c r="AB61" s="249">
        <f>SUM(AB52:AF52,AB54:AF54,AB56:AF56,AB58:AF58,AB60:AF60)</f>
        <v>200000</v>
      </c>
      <c r="AC61" s="239"/>
      <c r="AD61" s="239"/>
      <c r="AE61" s="239"/>
      <c r="AF61" s="240"/>
      <c r="AG61" s="249">
        <f>SUM(AG52:AK52,AG54:AK54,AG56:AK56,AG58:AK58,AG60:AK60)</f>
        <v>450000</v>
      </c>
      <c r="AH61" s="239"/>
      <c r="AI61" s="239"/>
      <c r="AJ61" s="239"/>
      <c r="AK61" s="240"/>
      <c r="AL61" s="249">
        <f>SUM(AL52:AP52,AL54:AP54,AL56:AP56,AL58:AP58,AL60:AP60)</f>
        <v>450000</v>
      </c>
      <c r="AM61" s="239"/>
      <c r="AN61" s="239"/>
      <c r="AO61" s="239"/>
      <c r="AP61" s="240"/>
      <c r="AQ61" s="249">
        <f>SUM(AQ52:AU52,AQ54:AU54,AQ56:AU56,AQ58:AU58,AQ60:AU60)</f>
        <v>450000</v>
      </c>
      <c r="AR61" s="239"/>
      <c r="AS61" s="239"/>
      <c r="AT61" s="239"/>
      <c r="AU61" s="240"/>
      <c r="AV61" s="249">
        <f>SUM(AV52:AZ52,AV54:AZ54,AV56:AZ56,AV58:AZ58,AV60:AZ60)</f>
        <v>450000</v>
      </c>
      <c r="AW61" s="239"/>
      <c r="AX61" s="239"/>
      <c r="AY61" s="239"/>
      <c r="AZ61" s="240"/>
      <c r="BA61" s="249">
        <f>SUM(BA52:BE52,BA54:BE54,BA56:BE56,BA58:BE58,BA60:BE60)</f>
        <v>450000</v>
      </c>
      <c r="BB61" s="239"/>
      <c r="BC61" s="239"/>
      <c r="BD61" s="239"/>
      <c r="BE61" s="240"/>
    </row>
    <row r="62" spans="1:57" ht="15" customHeight="1">
      <c r="A62" s="265" t="s">
        <v>426</v>
      </c>
      <c r="B62" s="213" t="s">
        <v>417</v>
      </c>
      <c r="C62" s="213" t="s">
        <v>417</v>
      </c>
      <c r="D62" s="214"/>
      <c r="E62" s="214"/>
      <c r="F62" s="214"/>
      <c r="G62" s="214"/>
      <c r="H62" s="213" t="s">
        <v>418</v>
      </c>
      <c r="I62" s="214"/>
      <c r="J62" s="214"/>
      <c r="K62" s="214"/>
      <c r="L62" s="214"/>
      <c r="M62" s="213" t="s">
        <v>418</v>
      </c>
      <c r="N62" s="214"/>
      <c r="O62" s="214"/>
      <c r="P62" s="214"/>
      <c r="Q62" s="214"/>
      <c r="R62" s="213" t="s">
        <v>418</v>
      </c>
      <c r="S62" s="214"/>
      <c r="T62" s="214"/>
      <c r="U62" s="214"/>
      <c r="V62" s="214"/>
      <c r="W62" s="213" t="s">
        <v>418</v>
      </c>
      <c r="X62" s="214"/>
      <c r="Y62" s="214"/>
      <c r="Z62" s="214"/>
      <c r="AA62" s="214"/>
      <c r="AB62" s="213" t="s">
        <v>418</v>
      </c>
      <c r="AC62" s="214"/>
      <c r="AD62" s="214"/>
      <c r="AE62" s="214"/>
      <c r="AF62" s="214"/>
      <c r="AG62" s="213" t="s">
        <v>418</v>
      </c>
      <c r="AH62" s="214"/>
      <c r="AI62" s="214"/>
      <c r="AJ62" s="214"/>
      <c r="AK62" s="214"/>
      <c r="AL62" s="213" t="s">
        <v>418</v>
      </c>
      <c r="AM62" s="214"/>
      <c r="AN62" s="214"/>
      <c r="AO62" s="214"/>
      <c r="AP62" s="214"/>
      <c r="AQ62" s="213" t="s">
        <v>418</v>
      </c>
      <c r="AR62" s="214"/>
      <c r="AS62" s="214"/>
      <c r="AT62" s="214"/>
      <c r="AU62" s="214"/>
      <c r="AV62" s="213" t="s">
        <v>418</v>
      </c>
      <c r="AW62" s="214"/>
      <c r="AX62" s="214"/>
      <c r="AY62" s="214"/>
      <c r="AZ62" s="214"/>
      <c r="BA62" s="213" t="s">
        <v>418</v>
      </c>
      <c r="BB62" s="214"/>
      <c r="BC62" s="215"/>
      <c r="BD62" s="215"/>
      <c r="BE62" s="215"/>
    </row>
    <row r="63" spans="1:57" ht="15" customHeight="1">
      <c r="A63" s="259"/>
      <c r="B63" s="213" t="s">
        <v>419</v>
      </c>
      <c r="C63" s="213" t="s">
        <v>418</v>
      </c>
      <c r="D63" s="213"/>
      <c r="E63" s="213"/>
      <c r="F63" s="213"/>
      <c r="G63" s="213"/>
      <c r="H63" s="213" t="s">
        <v>418</v>
      </c>
      <c r="I63" s="213"/>
      <c r="J63" s="213"/>
      <c r="K63" s="213"/>
      <c r="L63" s="213"/>
      <c r="M63" s="213" t="s">
        <v>418</v>
      </c>
      <c r="N63" s="213"/>
      <c r="O63" s="213"/>
      <c r="P63" s="213"/>
      <c r="Q63" s="213"/>
      <c r="R63" s="213" t="s">
        <v>418</v>
      </c>
      <c r="S63" s="213"/>
      <c r="T63" s="213"/>
      <c r="U63" s="213"/>
      <c r="V63" s="213"/>
      <c r="W63" s="213" t="s">
        <v>418</v>
      </c>
      <c r="X63" s="213"/>
      <c r="Y63" s="213"/>
      <c r="Z63" s="213"/>
      <c r="AA63" s="213"/>
      <c r="AB63" s="213" t="s">
        <v>418</v>
      </c>
      <c r="AC63" s="213"/>
      <c r="AD63" s="213"/>
      <c r="AE63" s="213"/>
      <c r="AF63" s="213"/>
      <c r="AG63" s="213" t="s">
        <v>418</v>
      </c>
      <c r="AH63" s="213"/>
      <c r="AI63" s="213"/>
      <c r="AJ63" s="213"/>
      <c r="AK63" s="213"/>
      <c r="AL63" s="213" t="s">
        <v>418</v>
      </c>
      <c r="AM63" s="213"/>
      <c r="AN63" s="213"/>
      <c r="AO63" s="213"/>
      <c r="AP63" s="213"/>
      <c r="AQ63" s="213" t="s">
        <v>418</v>
      </c>
      <c r="AR63" s="213"/>
      <c r="AS63" s="213"/>
      <c r="AT63" s="213"/>
      <c r="AU63" s="213"/>
      <c r="AV63" s="213" t="s">
        <v>418</v>
      </c>
      <c r="AW63" s="213"/>
      <c r="AX63" s="213"/>
      <c r="AY63" s="213"/>
      <c r="AZ63" s="213"/>
      <c r="BA63" s="213" t="s">
        <v>418</v>
      </c>
      <c r="BB63" s="213"/>
      <c r="BC63" s="212"/>
      <c r="BD63" s="212"/>
      <c r="BE63" s="212"/>
    </row>
    <row r="64" spans="1:57" ht="15" customHeight="1">
      <c r="A64" s="259"/>
      <c r="B64" s="214"/>
      <c r="C64" s="213"/>
      <c r="D64" s="213"/>
      <c r="E64" s="213"/>
      <c r="F64" s="213"/>
      <c r="G64" s="213"/>
      <c r="H64" s="213">
        <f>C73</f>
        <v>0</v>
      </c>
      <c r="I64" s="213"/>
      <c r="J64" s="213"/>
      <c r="K64" s="213"/>
      <c r="L64" s="213"/>
      <c r="M64" s="213">
        <f>H73</f>
        <v>0</v>
      </c>
      <c r="N64" s="213"/>
      <c r="O64" s="213"/>
      <c r="P64" s="213"/>
      <c r="Q64" s="213"/>
      <c r="R64" s="213">
        <f>M73</f>
        <v>0</v>
      </c>
      <c r="S64" s="213"/>
      <c r="T64" s="213"/>
      <c r="U64" s="213"/>
      <c r="V64" s="213"/>
      <c r="W64" s="213">
        <f>R73</f>
        <v>0</v>
      </c>
      <c r="X64" s="213"/>
      <c r="Y64" s="213"/>
      <c r="Z64" s="213"/>
      <c r="AA64" s="213"/>
      <c r="AB64" s="213">
        <f>W73</f>
        <v>0</v>
      </c>
      <c r="AC64" s="213"/>
      <c r="AD64" s="213"/>
      <c r="AE64" s="213"/>
      <c r="AF64" s="213"/>
      <c r="AG64" s="213">
        <f>AB73</f>
        <v>0</v>
      </c>
      <c r="AH64" s="213"/>
      <c r="AI64" s="213"/>
      <c r="AJ64" s="213"/>
      <c r="AK64" s="213"/>
      <c r="AL64" s="213">
        <f>AG73</f>
        <v>0</v>
      </c>
      <c r="AM64" s="213"/>
      <c r="AN64" s="213"/>
      <c r="AO64" s="213"/>
      <c r="AP64" s="213"/>
      <c r="AQ64" s="213">
        <f>AL73</f>
        <v>0</v>
      </c>
      <c r="AR64" s="213"/>
      <c r="AS64" s="213"/>
      <c r="AT64" s="213"/>
      <c r="AU64" s="213"/>
      <c r="AV64" s="213">
        <f>AQ73</f>
        <v>0</v>
      </c>
      <c r="AW64" s="213"/>
      <c r="AX64" s="213"/>
      <c r="AY64" s="213"/>
      <c r="AZ64" s="213"/>
      <c r="BA64" s="213">
        <f>AV73</f>
        <v>0</v>
      </c>
      <c r="BB64" s="213"/>
      <c r="BC64" s="212"/>
      <c r="BD64" s="212"/>
      <c r="BE64" s="212"/>
    </row>
    <row r="65" spans="1:57" ht="15" customHeight="1">
      <c r="A65" s="259"/>
      <c r="B65" s="213" t="s">
        <v>419</v>
      </c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  <c r="BC65" s="212"/>
      <c r="BD65" s="212"/>
      <c r="BE65" s="212"/>
    </row>
    <row r="66" spans="1:57" ht="15" customHeight="1">
      <c r="A66" s="259"/>
      <c r="B66" s="214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2"/>
      <c r="BD66" s="212"/>
      <c r="BE66" s="212"/>
    </row>
    <row r="67" spans="1:57" ht="15" customHeight="1">
      <c r="A67" s="259"/>
      <c r="B67" s="213" t="s">
        <v>419</v>
      </c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2"/>
      <c r="BD67" s="212"/>
      <c r="BE67" s="212"/>
    </row>
    <row r="68" spans="1:57" ht="15" customHeight="1">
      <c r="A68" s="259"/>
      <c r="B68" s="214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2"/>
      <c r="BD68" s="212"/>
      <c r="BE68" s="212"/>
    </row>
    <row r="69" spans="1:57" ht="15" customHeight="1">
      <c r="A69" s="259"/>
      <c r="B69" s="213" t="s">
        <v>419</v>
      </c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2"/>
      <c r="BD69" s="212"/>
      <c r="BE69" s="212"/>
    </row>
    <row r="70" spans="1:57" ht="15" customHeight="1">
      <c r="A70" s="259"/>
      <c r="B70" s="214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2"/>
      <c r="BD70" s="212"/>
      <c r="BE70" s="212"/>
    </row>
    <row r="71" spans="1:57" ht="19.2">
      <c r="A71" s="259"/>
      <c r="B71" s="213" t="s">
        <v>419</v>
      </c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2"/>
      <c r="BD71" s="212"/>
      <c r="BE71" s="212"/>
    </row>
    <row r="72" spans="1:57" ht="19.2">
      <c r="A72" s="260"/>
      <c r="B72" s="214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2"/>
      <c r="BD72" s="212"/>
      <c r="BE72" s="212"/>
    </row>
    <row r="73" spans="1:57" ht="15" customHeight="1">
      <c r="A73" s="221" t="s">
        <v>417</v>
      </c>
      <c r="B73" s="220"/>
      <c r="C73" s="241">
        <f>SUM(C64:G64,C66:G66,C68:G68,C70:G70,C72:G72)</f>
        <v>0</v>
      </c>
      <c r="D73" s="239"/>
      <c r="E73" s="239"/>
      <c r="F73" s="239"/>
      <c r="G73" s="240"/>
      <c r="H73" s="241">
        <f>SUM(H64:L64,H66:L66,H68:L68,H70:L70,H72:L72)</f>
        <v>0</v>
      </c>
      <c r="I73" s="239"/>
      <c r="J73" s="239"/>
      <c r="K73" s="239"/>
      <c r="L73" s="240"/>
      <c r="M73" s="241">
        <f>SUM(M64:Q64,M66:Q66,M68:Q68,M70:Q70,M72:Q72)</f>
        <v>0</v>
      </c>
      <c r="N73" s="239"/>
      <c r="O73" s="239"/>
      <c r="P73" s="239"/>
      <c r="Q73" s="240"/>
      <c r="R73" s="241">
        <f>SUM(R64:V64,R66:V66,R68:V68,R70:V70,R72:V72)</f>
        <v>0</v>
      </c>
      <c r="S73" s="239"/>
      <c r="T73" s="239"/>
      <c r="U73" s="239"/>
      <c r="V73" s="240"/>
      <c r="W73" s="241">
        <f>SUM(W64:AA64,W66:AA66,W68:AA68,W70:AA70,W72:AA72)</f>
        <v>0</v>
      </c>
      <c r="X73" s="239"/>
      <c r="Y73" s="239"/>
      <c r="Z73" s="239"/>
      <c r="AA73" s="240"/>
      <c r="AB73" s="241">
        <f>SUM(AB64:AF64,AB66:AF66,AB68:AF68,AB70:AF70,AB72:AF72)</f>
        <v>0</v>
      </c>
      <c r="AC73" s="239"/>
      <c r="AD73" s="239"/>
      <c r="AE73" s="239"/>
      <c r="AF73" s="240"/>
      <c r="AG73" s="241">
        <f>SUM(AG64:AK64,AG66:AK66,AG68:AK68,AG70:AK70,AG72:AK72)</f>
        <v>0</v>
      </c>
      <c r="AH73" s="239"/>
      <c r="AI73" s="239"/>
      <c r="AJ73" s="239"/>
      <c r="AK73" s="240"/>
      <c r="AL73" s="241">
        <f>SUM(AL64:AP64,AL66:AP66,AL68:AP68,AL70:AP70,AL72:AP72)</f>
        <v>0</v>
      </c>
      <c r="AM73" s="239"/>
      <c r="AN73" s="239"/>
      <c r="AO73" s="239"/>
      <c r="AP73" s="240"/>
      <c r="AQ73" s="241">
        <f>SUM(AQ64:AU64,AQ66:AU66,AQ68:AU68,AQ70:AU70,AQ72:AU72)</f>
        <v>0</v>
      </c>
      <c r="AR73" s="239"/>
      <c r="AS73" s="239"/>
      <c r="AT73" s="239"/>
      <c r="AU73" s="240"/>
      <c r="AV73" s="241">
        <f>SUM(AV64:AZ64,AV66:AZ66,AV68:AZ68,AV70:AZ70,AV72:AZ72)</f>
        <v>0</v>
      </c>
      <c r="AW73" s="239"/>
      <c r="AX73" s="239"/>
      <c r="AY73" s="239"/>
      <c r="AZ73" s="240"/>
      <c r="BA73" s="241">
        <f>SUM(BA64:BE64,BA66:BE66,BA68:BE68,BA70:BE70,BA72:BE72)</f>
        <v>0</v>
      </c>
      <c r="BB73" s="239"/>
      <c r="BC73" s="239"/>
      <c r="BD73" s="239"/>
      <c r="BE73" s="240"/>
    </row>
    <row r="74" spans="1:57" ht="15" customHeight="1">
      <c r="A74" s="258" t="s">
        <v>427</v>
      </c>
      <c r="B74" s="213" t="s">
        <v>417</v>
      </c>
      <c r="C74" s="213" t="s">
        <v>417</v>
      </c>
      <c r="D74" s="214"/>
      <c r="E74" s="214"/>
      <c r="F74" s="214"/>
      <c r="G74" s="214"/>
      <c r="H74" s="213" t="s">
        <v>418</v>
      </c>
      <c r="I74" s="214"/>
      <c r="J74" s="214"/>
      <c r="K74" s="214"/>
      <c r="L74" s="214"/>
      <c r="M74" s="213" t="s">
        <v>418</v>
      </c>
      <c r="N74" s="214"/>
      <c r="O74" s="214"/>
      <c r="P74" s="214"/>
      <c r="Q74" s="214"/>
      <c r="R74" s="213" t="s">
        <v>418</v>
      </c>
      <c r="S74" s="214"/>
      <c r="T74" s="214"/>
      <c r="U74" s="214"/>
      <c r="V74" s="214"/>
      <c r="W74" s="213" t="s">
        <v>418</v>
      </c>
      <c r="X74" s="214"/>
      <c r="Y74" s="214"/>
      <c r="Z74" s="214"/>
      <c r="AA74" s="214"/>
      <c r="AB74" s="213" t="s">
        <v>418</v>
      </c>
      <c r="AC74" s="214"/>
      <c r="AD74" s="214"/>
      <c r="AE74" s="214"/>
      <c r="AF74" s="214"/>
      <c r="AG74" s="213" t="s">
        <v>418</v>
      </c>
      <c r="AH74" s="214"/>
      <c r="AI74" s="214"/>
      <c r="AJ74" s="214"/>
      <c r="AK74" s="214"/>
      <c r="AL74" s="213" t="s">
        <v>418</v>
      </c>
      <c r="AM74" s="214"/>
      <c r="AN74" s="214"/>
      <c r="AO74" s="214"/>
      <c r="AP74" s="214"/>
      <c r="AQ74" s="213" t="s">
        <v>418</v>
      </c>
      <c r="AR74" s="214"/>
      <c r="AS74" s="214"/>
      <c r="AT74" s="214"/>
      <c r="AU74" s="214"/>
      <c r="AV74" s="213" t="s">
        <v>418</v>
      </c>
      <c r="AW74" s="214"/>
      <c r="AX74" s="214"/>
      <c r="AY74" s="214"/>
      <c r="AZ74" s="214"/>
      <c r="BA74" s="213" t="s">
        <v>418</v>
      </c>
      <c r="BB74" s="214"/>
      <c r="BC74" s="215"/>
      <c r="BD74" s="215"/>
      <c r="BE74" s="215"/>
    </row>
    <row r="75" spans="1:57" ht="15" customHeight="1">
      <c r="A75" s="259"/>
      <c r="B75" s="213" t="s">
        <v>419</v>
      </c>
      <c r="C75" s="213" t="s">
        <v>418</v>
      </c>
      <c r="D75" s="213"/>
      <c r="E75" s="213"/>
      <c r="F75" s="213"/>
      <c r="G75" s="213"/>
      <c r="H75" s="213" t="s">
        <v>418</v>
      </c>
      <c r="I75" s="213" t="s">
        <v>493</v>
      </c>
      <c r="J75" s="213"/>
      <c r="K75" s="213"/>
      <c r="L75" s="213"/>
      <c r="M75" s="213" t="s">
        <v>418</v>
      </c>
      <c r="N75" s="213"/>
      <c r="O75" s="213"/>
      <c r="P75" s="213"/>
      <c r="Q75" s="213"/>
      <c r="R75" s="213" t="s">
        <v>418</v>
      </c>
      <c r="S75" s="213"/>
      <c r="T75" s="213"/>
      <c r="U75" s="213"/>
      <c r="V75" s="213"/>
      <c r="W75" s="213" t="s">
        <v>418</v>
      </c>
      <c r="X75" s="213"/>
      <c r="Y75" s="213"/>
      <c r="Z75" s="213"/>
      <c r="AA75" s="213"/>
      <c r="AB75" s="213" t="s">
        <v>418</v>
      </c>
      <c r="AC75" s="213"/>
      <c r="AD75" s="213"/>
      <c r="AE75" s="213"/>
      <c r="AF75" s="213"/>
      <c r="AG75" s="213" t="s">
        <v>418</v>
      </c>
      <c r="AH75" s="213"/>
      <c r="AI75" s="213"/>
      <c r="AJ75" s="213"/>
      <c r="AK75" s="213"/>
      <c r="AL75" s="213" t="s">
        <v>418</v>
      </c>
      <c r="AM75" s="213"/>
      <c r="AN75" s="213"/>
      <c r="AO75" s="213"/>
      <c r="AP75" s="213"/>
      <c r="AQ75" s="213" t="s">
        <v>418</v>
      </c>
      <c r="AR75" s="213"/>
      <c r="AS75" s="213"/>
      <c r="AT75" s="213"/>
      <c r="AU75" s="213"/>
      <c r="AV75" s="213" t="s">
        <v>418</v>
      </c>
      <c r="AW75" s="213"/>
      <c r="AX75" s="213"/>
      <c r="AY75" s="213"/>
      <c r="AZ75" s="213"/>
      <c r="BA75" s="213" t="s">
        <v>418</v>
      </c>
      <c r="BB75" s="213"/>
      <c r="BC75" s="212"/>
      <c r="BD75" s="212"/>
      <c r="BE75" s="212"/>
    </row>
    <row r="76" spans="1:57" ht="15" customHeight="1">
      <c r="A76" s="259"/>
      <c r="B76" s="214"/>
      <c r="C76" s="213">
        <v>21500</v>
      </c>
      <c r="D76" s="213"/>
      <c r="E76" s="213"/>
      <c r="F76" s="213"/>
      <c r="G76" s="213"/>
      <c r="H76" s="213">
        <f>C85</f>
        <v>21500</v>
      </c>
      <c r="I76" s="213">
        <v>-21500</v>
      </c>
      <c r="J76" s="213"/>
      <c r="K76" s="213"/>
      <c r="L76" s="213"/>
      <c r="M76" s="213">
        <f>H85</f>
        <v>0</v>
      </c>
      <c r="N76" s="213"/>
      <c r="O76" s="213"/>
      <c r="P76" s="213"/>
      <c r="Q76" s="213"/>
      <c r="R76" s="213">
        <f>M85</f>
        <v>0</v>
      </c>
      <c r="S76" s="213"/>
      <c r="T76" s="213"/>
      <c r="U76" s="213"/>
      <c r="V76" s="213"/>
      <c r="W76" s="213">
        <f>R85</f>
        <v>0</v>
      </c>
      <c r="X76" s="213"/>
      <c r="Y76" s="213"/>
      <c r="Z76" s="213"/>
      <c r="AA76" s="213"/>
      <c r="AB76" s="213">
        <f>W85</f>
        <v>0</v>
      </c>
      <c r="AC76" s="213"/>
      <c r="AD76" s="213"/>
      <c r="AE76" s="213"/>
      <c r="AF76" s="213"/>
      <c r="AG76" s="213">
        <f>AB85</f>
        <v>0</v>
      </c>
      <c r="AH76" s="213"/>
      <c r="AI76" s="213"/>
      <c r="AJ76" s="213"/>
      <c r="AK76" s="213"/>
      <c r="AL76" s="213">
        <f>AG85</f>
        <v>0</v>
      </c>
      <c r="AM76" s="213"/>
      <c r="AN76" s="213"/>
      <c r="AO76" s="213"/>
      <c r="AP76" s="213"/>
      <c r="AQ76" s="213">
        <f>AL85</f>
        <v>0</v>
      </c>
      <c r="AR76" s="213"/>
      <c r="AS76" s="213"/>
      <c r="AT76" s="213"/>
      <c r="AU76" s="213"/>
      <c r="AV76" s="213">
        <f>AQ85</f>
        <v>0</v>
      </c>
      <c r="AW76" s="213"/>
      <c r="AX76" s="213"/>
      <c r="AY76" s="213"/>
      <c r="AZ76" s="213"/>
      <c r="BA76" s="213">
        <f>AV85</f>
        <v>0</v>
      </c>
      <c r="BB76" s="213"/>
      <c r="BC76" s="212"/>
      <c r="BD76" s="212"/>
      <c r="BE76" s="212"/>
    </row>
    <row r="77" spans="1:57" ht="15" customHeight="1">
      <c r="A77" s="259"/>
      <c r="B77" s="213" t="s">
        <v>419</v>
      </c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2"/>
      <c r="BD77" s="212"/>
      <c r="BE77" s="212"/>
    </row>
    <row r="78" spans="1:57" ht="15" customHeight="1">
      <c r="A78" s="259"/>
      <c r="B78" s="214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2"/>
      <c r="BD78" s="212"/>
      <c r="BE78" s="212"/>
    </row>
    <row r="79" spans="1:57" ht="15" customHeight="1">
      <c r="A79" s="259"/>
      <c r="B79" s="213" t="s">
        <v>419</v>
      </c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  <c r="BC79" s="212"/>
      <c r="BD79" s="212"/>
      <c r="BE79" s="212"/>
    </row>
    <row r="80" spans="1:57" ht="15" customHeight="1">
      <c r="A80" s="259"/>
      <c r="B80" s="214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  <c r="BC80" s="212"/>
      <c r="BD80" s="212"/>
      <c r="BE80" s="212"/>
    </row>
    <row r="81" spans="1:57" ht="15" customHeight="1">
      <c r="A81" s="259"/>
      <c r="B81" s="213" t="s">
        <v>419</v>
      </c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2"/>
      <c r="BD81" s="212"/>
      <c r="BE81" s="212"/>
    </row>
    <row r="82" spans="1:57" ht="15" customHeight="1">
      <c r="A82" s="259"/>
      <c r="B82" s="214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  <c r="BC82" s="212"/>
      <c r="BD82" s="212"/>
      <c r="BE82" s="212"/>
    </row>
    <row r="83" spans="1:57" ht="19.2">
      <c r="A83" s="259"/>
      <c r="B83" s="213" t="s">
        <v>419</v>
      </c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  <c r="BC83" s="212"/>
      <c r="BD83" s="212"/>
      <c r="BE83" s="212"/>
    </row>
    <row r="84" spans="1:57" ht="19.2">
      <c r="A84" s="260"/>
      <c r="B84" s="214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  <c r="BC84" s="212"/>
      <c r="BD84" s="212"/>
      <c r="BE84" s="212"/>
    </row>
    <row r="85" spans="1:57" ht="15" customHeight="1">
      <c r="A85" s="219" t="s">
        <v>417</v>
      </c>
      <c r="B85" s="218"/>
      <c r="C85" s="254">
        <f>SUM(C76:G76,C78:G78,C80:G80,C82:G82,C84:G84)</f>
        <v>21500</v>
      </c>
      <c r="D85" s="239"/>
      <c r="E85" s="239"/>
      <c r="F85" s="239"/>
      <c r="G85" s="240"/>
      <c r="H85" s="254">
        <f>SUM(H76:L76,H78:L78,H80:L80,H82:L82,H84:L84)</f>
        <v>0</v>
      </c>
      <c r="I85" s="239"/>
      <c r="J85" s="239"/>
      <c r="K85" s="239"/>
      <c r="L85" s="240"/>
      <c r="M85" s="254">
        <f>SUM(M76:Q76,M78:Q78,M80:Q80,M82:Q82,M84:Q84)</f>
        <v>0</v>
      </c>
      <c r="N85" s="239"/>
      <c r="O85" s="239"/>
      <c r="P85" s="239"/>
      <c r="Q85" s="240"/>
      <c r="R85" s="254">
        <f>SUM(R76:V76,R78:V78,R80:V80,R82:V82,R84:V84)</f>
        <v>0</v>
      </c>
      <c r="S85" s="239"/>
      <c r="T85" s="239"/>
      <c r="U85" s="239"/>
      <c r="V85" s="240"/>
      <c r="W85" s="254">
        <f>SUM(W76:AA76,W78:AA78,W80:AA80,W82:AA82,W84:AA84)</f>
        <v>0</v>
      </c>
      <c r="X85" s="239"/>
      <c r="Y85" s="239"/>
      <c r="Z85" s="239"/>
      <c r="AA85" s="240"/>
      <c r="AB85" s="254">
        <f>SUM(AB76:AF76,AB78:AF78,AB80:AF80,AB82:AF82,AB84:AF84)</f>
        <v>0</v>
      </c>
      <c r="AC85" s="239"/>
      <c r="AD85" s="239"/>
      <c r="AE85" s="239"/>
      <c r="AF85" s="240"/>
      <c r="AG85" s="254">
        <f>SUM(AG76:AK76,AG78:AK78,AG80:AK80,AG82:AK82,AG84:AK84)</f>
        <v>0</v>
      </c>
      <c r="AH85" s="239"/>
      <c r="AI85" s="239"/>
      <c r="AJ85" s="239"/>
      <c r="AK85" s="240"/>
      <c r="AL85" s="254">
        <f>SUM(AL76:AP76,AL78:AP78,AL80:AP80,AL82:AP82,AL84:AP84)</f>
        <v>0</v>
      </c>
      <c r="AM85" s="239"/>
      <c r="AN85" s="239"/>
      <c r="AO85" s="239"/>
      <c r="AP85" s="240"/>
      <c r="AQ85" s="254">
        <f>SUM(AQ76:AU76,AQ78:AU78,AQ80:AU80,AQ82:AU82,AQ84:AU84)</f>
        <v>0</v>
      </c>
      <c r="AR85" s="239"/>
      <c r="AS85" s="239"/>
      <c r="AT85" s="239"/>
      <c r="AU85" s="240"/>
      <c r="AV85" s="254">
        <f>SUM(AV76:AZ76,AV78:AZ78,AV80:AZ80,AV82:AZ82,AV84:AZ84)</f>
        <v>0</v>
      </c>
      <c r="AW85" s="239"/>
      <c r="AX85" s="239"/>
      <c r="AY85" s="239"/>
      <c r="AZ85" s="240"/>
      <c r="BA85" s="254">
        <f>SUM(BA76:BE76,BA78:BE78,BA80:BE80,BA82:BE82,BA84:BE84)</f>
        <v>0</v>
      </c>
      <c r="BB85" s="239"/>
      <c r="BC85" s="239"/>
      <c r="BD85" s="239"/>
      <c r="BE85" s="240"/>
    </row>
    <row r="86" spans="1:57" ht="15" customHeight="1">
      <c r="A86" s="263" t="s">
        <v>727</v>
      </c>
      <c r="B86" s="213" t="s">
        <v>417</v>
      </c>
      <c r="C86" s="213" t="s">
        <v>417</v>
      </c>
      <c r="D86" s="214"/>
      <c r="E86" s="214"/>
      <c r="F86" s="214"/>
      <c r="G86" s="214"/>
      <c r="H86" s="213" t="s">
        <v>418</v>
      </c>
      <c r="I86" s="214"/>
      <c r="J86" s="214"/>
      <c r="K86" s="214"/>
      <c r="L86" s="214"/>
      <c r="M86" s="213" t="s">
        <v>418</v>
      </c>
      <c r="N86" s="214"/>
      <c r="O86" s="214"/>
      <c r="P86" s="214"/>
      <c r="Q86" s="214"/>
      <c r="R86" s="213" t="s">
        <v>418</v>
      </c>
      <c r="S86" s="214"/>
      <c r="T86" s="214"/>
      <c r="U86" s="214"/>
      <c r="V86" s="214"/>
      <c r="W86" s="213" t="s">
        <v>418</v>
      </c>
      <c r="X86" s="214"/>
      <c r="Y86" s="214"/>
      <c r="Z86" s="214"/>
      <c r="AA86" s="214"/>
      <c r="AB86" s="213" t="s">
        <v>418</v>
      </c>
      <c r="AC86" s="214"/>
      <c r="AD86" s="214"/>
      <c r="AE86" s="214"/>
      <c r="AF86" s="214"/>
      <c r="AG86" s="213" t="s">
        <v>418</v>
      </c>
      <c r="AH86" s="214"/>
      <c r="AI86" s="214"/>
      <c r="AJ86" s="214"/>
      <c r="AK86" s="214"/>
      <c r="AL86" s="213" t="s">
        <v>418</v>
      </c>
      <c r="AM86" s="214"/>
      <c r="AN86" s="214"/>
      <c r="AO86" s="214"/>
      <c r="AP86" s="214"/>
      <c r="AQ86" s="213" t="s">
        <v>418</v>
      </c>
      <c r="AR86" s="214"/>
      <c r="AS86" s="214"/>
      <c r="AT86" s="214"/>
      <c r="AU86" s="214"/>
      <c r="AV86" s="213" t="s">
        <v>418</v>
      </c>
      <c r="AW86" s="214"/>
      <c r="AX86" s="214"/>
      <c r="AY86" s="214"/>
      <c r="AZ86" s="214"/>
      <c r="BA86" s="213" t="s">
        <v>418</v>
      </c>
      <c r="BB86" s="214"/>
      <c r="BC86" s="215"/>
      <c r="BD86" s="215"/>
      <c r="BE86" s="215"/>
    </row>
    <row r="87" spans="1:57" ht="15" customHeight="1">
      <c r="A87" s="259"/>
      <c r="B87" s="213" t="s">
        <v>419</v>
      </c>
      <c r="C87" s="213" t="s">
        <v>418</v>
      </c>
      <c r="D87" s="213"/>
      <c r="E87" s="213"/>
      <c r="F87" s="213"/>
      <c r="G87" s="213"/>
      <c r="H87" s="213" t="s">
        <v>418</v>
      </c>
      <c r="I87" s="213" t="s">
        <v>725</v>
      </c>
      <c r="J87" s="213" t="s">
        <v>725</v>
      </c>
      <c r="K87" s="213"/>
      <c r="L87" s="213"/>
      <c r="M87" s="213" t="s">
        <v>418</v>
      </c>
      <c r="N87" s="213" t="s">
        <v>725</v>
      </c>
      <c r="O87" s="213" t="s">
        <v>725</v>
      </c>
      <c r="P87" s="213"/>
      <c r="Q87" s="213"/>
      <c r="R87" s="213" t="s">
        <v>418</v>
      </c>
      <c r="S87" s="213" t="s">
        <v>725</v>
      </c>
      <c r="T87" s="213" t="s">
        <v>725</v>
      </c>
      <c r="U87" s="213"/>
      <c r="V87" s="213"/>
      <c r="W87" s="213" t="s">
        <v>418</v>
      </c>
      <c r="X87" s="213" t="s">
        <v>725</v>
      </c>
      <c r="Y87" s="213" t="s">
        <v>726</v>
      </c>
      <c r="Z87" s="213"/>
      <c r="AA87" s="213"/>
      <c r="AB87" s="213" t="s">
        <v>418</v>
      </c>
      <c r="AC87" s="213" t="s">
        <v>725</v>
      </c>
      <c r="AD87" s="213" t="s">
        <v>700</v>
      </c>
      <c r="AE87" s="213"/>
      <c r="AF87" s="213"/>
      <c r="AG87" s="213" t="s">
        <v>418</v>
      </c>
      <c r="AH87" s="213"/>
      <c r="AI87" s="213"/>
      <c r="AJ87" s="213"/>
      <c r="AK87" s="213"/>
      <c r="AL87" s="213" t="s">
        <v>418</v>
      </c>
      <c r="AM87" s="213"/>
      <c r="AN87" s="213"/>
      <c r="AO87" s="213"/>
      <c r="AP87" s="213"/>
      <c r="AQ87" s="213" t="s">
        <v>418</v>
      </c>
      <c r="AR87" s="213"/>
      <c r="AS87" s="213"/>
      <c r="AT87" s="213"/>
      <c r="AU87" s="213"/>
      <c r="AV87" s="213" t="s">
        <v>418</v>
      </c>
      <c r="AW87" s="213"/>
      <c r="AX87" s="213"/>
      <c r="AY87" s="213"/>
      <c r="AZ87" s="213"/>
      <c r="BA87" s="213" t="s">
        <v>418</v>
      </c>
      <c r="BB87" s="213"/>
      <c r="BC87" s="212"/>
      <c r="BD87" s="212"/>
      <c r="BE87" s="212"/>
    </row>
    <row r="88" spans="1:57" ht="15" customHeight="1">
      <c r="A88" s="259"/>
      <c r="B88" s="214"/>
      <c r="C88" s="213"/>
      <c r="D88" s="213"/>
      <c r="E88" s="213"/>
      <c r="F88" s="213"/>
      <c r="G88" s="213"/>
      <c r="H88" s="213">
        <f>C97</f>
        <v>0</v>
      </c>
      <c r="I88" s="213">
        <v>868</v>
      </c>
      <c r="J88" s="213">
        <v>1283</v>
      </c>
      <c r="K88" s="213"/>
      <c r="L88" s="213"/>
      <c r="M88" s="213">
        <f>H97</f>
        <v>2151</v>
      </c>
      <c r="N88" s="213">
        <v>151317</v>
      </c>
      <c r="O88" s="213">
        <v>849</v>
      </c>
      <c r="P88" s="213"/>
      <c r="Q88" s="213"/>
      <c r="R88" s="213">
        <f>M97</f>
        <v>1137</v>
      </c>
      <c r="S88" s="213">
        <f>679+739</f>
        <v>1418</v>
      </c>
      <c r="T88" s="213">
        <f>1293</f>
        <v>1293</v>
      </c>
      <c r="U88" s="213"/>
      <c r="V88" s="213"/>
      <c r="W88" s="213">
        <f>R97</f>
        <v>4897</v>
      </c>
      <c r="X88" s="213">
        <v>4448</v>
      </c>
      <c r="Y88" s="213">
        <v>821</v>
      </c>
      <c r="Z88" s="213"/>
      <c r="AA88" s="213"/>
      <c r="AB88" s="213">
        <f>W97</f>
        <v>27858</v>
      </c>
      <c r="AC88" s="213">
        <v>5877</v>
      </c>
      <c r="AD88" s="213">
        <v>-6308</v>
      </c>
      <c r="AE88" s="213"/>
      <c r="AF88" s="213"/>
      <c r="AG88" s="213">
        <f>AB97</f>
        <v>0</v>
      </c>
      <c r="AH88" s="213"/>
      <c r="AI88" s="213"/>
      <c r="AJ88" s="213"/>
      <c r="AK88" s="213"/>
      <c r="AL88" s="213">
        <f>AG97</f>
        <v>0</v>
      </c>
      <c r="AM88" s="213"/>
      <c r="AN88" s="213"/>
      <c r="AO88" s="213"/>
      <c r="AP88" s="213"/>
      <c r="AQ88" s="213">
        <f>AL97</f>
        <v>0</v>
      </c>
      <c r="AR88" s="213"/>
      <c r="AS88" s="213"/>
      <c r="AT88" s="213"/>
      <c r="AU88" s="213"/>
      <c r="AV88" s="213">
        <f>AQ97</f>
        <v>0</v>
      </c>
      <c r="AW88" s="213"/>
      <c r="AX88" s="213"/>
      <c r="AY88" s="213"/>
      <c r="AZ88" s="213"/>
      <c r="BA88" s="213">
        <f>AV97</f>
        <v>0</v>
      </c>
      <c r="BB88" s="213"/>
      <c r="BC88" s="212"/>
      <c r="BD88" s="212"/>
      <c r="BE88" s="212"/>
    </row>
    <row r="89" spans="1:57" ht="15" customHeight="1">
      <c r="A89" s="259"/>
      <c r="B89" s="213" t="s">
        <v>419</v>
      </c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 t="s">
        <v>725</v>
      </c>
      <c r="N89" s="213" t="s">
        <v>493</v>
      </c>
      <c r="O89" s="213" t="s">
        <v>725</v>
      </c>
      <c r="P89" s="213"/>
      <c r="Q89" s="213"/>
      <c r="R89" s="213" t="s">
        <v>725</v>
      </c>
      <c r="S89" s="213"/>
      <c r="T89" s="213"/>
      <c r="U89" s="213"/>
      <c r="V89" s="213"/>
      <c r="W89" s="213" t="s">
        <v>725</v>
      </c>
      <c r="X89" s="213" t="s">
        <v>725</v>
      </c>
      <c r="Y89" s="213" t="s">
        <v>700</v>
      </c>
      <c r="Z89" s="213"/>
      <c r="AA89" s="213"/>
      <c r="AB89" s="213" t="s">
        <v>725</v>
      </c>
      <c r="AC89" s="213" t="s">
        <v>725</v>
      </c>
      <c r="AD89" s="213" t="s">
        <v>598</v>
      </c>
      <c r="AE89" s="213"/>
      <c r="AF89" s="213"/>
      <c r="AG89" s="213"/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  <c r="BC89" s="212"/>
      <c r="BD89" s="212"/>
      <c r="BE89" s="212"/>
    </row>
    <row r="90" spans="1:57" ht="15" customHeight="1">
      <c r="A90" s="259"/>
      <c r="B90" s="214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>
        <v>5816</v>
      </c>
      <c r="N90" s="213">
        <v>-160133</v>
      </c>
      <c r="O90" s="213">
        <v>1137</v>
      </c>
      <c r="P90" s="213"/>
      <c r="Q90" s="213"/>
      <c r="R90" s="213">
        <v>1049</v>
      </c>
      <c r="S90" s="213"/>
      <c r="T90" s="213"/>
      <c r="U90" s="213"/>
      <c r="V90" s="213"/>
      <c r="W90" s="213">
        <f>2905</f>
        <v>2905</v>
      </c>
      <c r="X90" s="213">
        <v>2263</v>
      </c>
      <c r="Y90" s="213">
        <v>-15334</v>
      </c>
      <c r="Z90" s="213"/>
      <c r="AA90" s="213"/>
      <c r="AB90" s="213">
        <v>2595</v>
      </c>
      <c r="AC90" s="213">
        <v>4467</v>
      </c>
      <c r="AD90" s="213">
        <v>-34489</v>
      </c>
      <c r="AE90" s="213"/>
      <c r="AF90" s="213"/>
      <c r="AG90" s="213"/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  <c r="BC90" s="212"/>
      <c r="BD90" s="212"/>
      <c r="BE90" s="212"/>
    </row>
    <row r="91" spans="1:57" ht="15" customHeight="1">
      <c r="A91" s="259"/>
      <c r="B91" s="213" t="s">
        <v>419</v>
      </c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 t="s">
        <v>725</v>
      </c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  <c r="BC91" s="212"/>
      <c r="BD91" s="212"/>
      <c r="BE91" s="212"/>
    </row>
    <row r="92" spans="1:57" ht="15" customHeight="1">
      <c r="A92" s="259"/>
      <c r="B92" s="214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>
        <v>27858</v>
      </c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  <c r="BC92" s="212"/>
      <c r="BD92" s="212"/>
      <c r="BE92" s="212"/>
    </row>
    <row r="93" spans="1:57" ht="15" customHeight="1">
      <c r="A93" s="259"/>
      <c r="B93" s="213" t="s">
        <v>419</v>
      </c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  <c r="BC93" s="212"/>
      <c r="BD93" s="212"/>
      <c r="BE93" s="212"/>
    </row>
    <row r="94" spans="1:57" ht="15" customHeight="1">
      <c r="A94" s="259"/>
      <c r="B94" s="214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  <c r="BC94" s="212"/>
      <c r="BD94" s="212"/>
      <c r="BE94" s="212"/>
    </row>
    <row r="95" spans="1:57" ht="19.2">
      <c r="A95" s="259"/>
      <c r="B95" s="213" t="s">
        <v>419</v>
      </c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  <c r="BC95" s="212"/>
      <c r="BD95" s="212"/>
      <c r="BE95" s="212"/>
    </row>
    <row r="96" spans="1:57" ht="19.2">
      <c r="A96" s="260"/>
      <c r="B96" s="214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  <c r="BC96" s="212"/>
      <c r="BD96" s="212"/>
      <c r="BE96" s="212"/>
    </row>
    <row r="97" spans="1:57" ht="15" customHeight="1">
      <c r="A97" s="217" t="s">
        <v>417</v>
      </c>
      <c r="B97" s="216"/>
      <c r="C97" s="238">
        <f>SUM(C88:G88,C90:G90,C92:G92,C94:G94,C96:G96)</f>
        <v>0</v>
      </c>
      <c r="D97" s="239"/>
      <c r="E97" s="239"/>
      <c r="F97" s="239"/>
      <c r="G97" s="240"/>
      <c r="H97" s="238">
        <f>SUM(H88:L88,H90:L90,H92:L92,H94:L94,H96:L96)</f>
        <v>2151</v>
      </c>
      <c r="I97" s="239"/>
      <c r="J97" s="239"/>
      <c r="K97" s="239"/>
      <c r="L97" s="240"/>
      <c r="M97" s="238">
        <f>SUM(M88:Q88,M90:Q90,M92:Q92,M94:Q94,M96:Q96)</f>
        <v>1137</v>
      </c>
      <c r="N97" s="239"/>
      <c r="O97" s="239"/>
      <c r="P97" s="239"/>
      <c r="Q97" s="240"/>
      <c r="R97" s="238">
        <f>SUM(R88:V88,R90:V90,R92:V92,R94:V94,R96:V96)</f>
        <v>4897</v>
      </c>
      <c r="S97" s="239"/>
      <c r="T97" s="239"/>
      <c r="U97" s="239"/>
      <c r="V97" s="240"/>
      <c r="W97" s="238">
        <f>SUM(W88:AA88,W90:AA90,W92:AA92,W94:AA94,W96:AA96)</f>
        <v>27858</v>
      </c>
      <c r="X97" s="239"/>
      <c r="Y97" s="239"/>
      <c r="Z97" s="239"/>
      <c r="AA97" s="240"/>
      <c r="AB97" s="238">
        <f>SUM(AB88:AF88,AB90:AF90,AB92:AF92,AB94:AF94,AB96:AF96)</f>
        <v>0</v>
      </c>
      <c r="AC97" s="239"/>
      <c r="AD97" s="239"/>
      <c r="AE97" s="239"/>
      <c r="AF97" s="240"/>
      <c r="AG97" s="238">
        <f>SUM(AG88:AK88,AG90:AK90,AG92:AK92,AG94:AK94,AG96:AK96)</f>
        <v>0</v>
      </c>
      <c r="AH97" s="239"/>
      <c r="AI97" s="239"/>
      <c r="AJ97" s="239"/>
      <c r="AK97" s="240"/>
      <c r="AL97" s="238">
        <f>SUM(AL88:AP88,AL90:AP90,AL92:AP92,AL94:AP94,AL96:AP96)</f>
        <v>0</v>
      </c>
      <c r="AM97" s="239"/>
      <c r="AN97" s="239"/>
      <c r="AO97" s="239"/>
      <c r="AP97" s="240"/>
      <c r="AQ97" s="238">
        <f>SUM(AQ88:AU88,AQ90:AU90,AQ92:AU92,AQ94:AU94,AQ96:AU96)</f>
        <v>0</v>
      </c>
      <c r="AR97" s="239"/>
      <c r="AS97" s="239"/>
      <c r="AT97" s="239"/>
      <c r="AU97" s="240"/>
      <c r="AV97" s="238">
        <f>SUM(AV88:AZ88,AV90:AZ90,AV92:AZ92,AV94:AZ94,AV96:AZ96)</f>
        <v>0</v>
      </c>
      <c r="AW97" s="239"/>
      <c r="AX97" s="239"/>
      <c r="AY97" s="239"/>
      <c r="AZ97" s="240"/>
      <c r="BA97" s="238">
        <f>SUM(BA88:BE88,BA90:BE90,BA92:BE92,BA94:BE94,BA96:BE96)</f>
        <v>0</v>
      </c>
      <c r="BB97" s="239"/>
      <c r="BC97" s="239"/>
      <c r="BD97" s="239"/>
      <c r="BE97" s="240"/>
    </row>
    <row r="98" spans="1:57" ht="15" customHeight="1">
      <c r="A98" s="261" t="s">
        <v>724</v>
      </c>
      <c r="B98" s="213" t="s">
        <v>417</v>
      </c>
      <c r="C98" s="213" t="s">
        <v>417</v>
      </c>
      <c r="D98" s="214"/>
      <c r="E98" s="214"/>
      <c r="F98" s="214"/>
      <c r="G98" s="214"/>
      <c r="H98" s="213" t="s">
        <v>418</v>
      </c>
      <c r="I98" s="214"/>
      <c r="J98" s="214"/>
      <c r="K98" s="214"/>
      <c r="L98" s="214"/>
      <c r="M98" s="213" t="s">
        <v>418</v>
      </c>
      <c r="N98" s="214"/>
      <c r="O98" s="214"/>
      <c r="P98" s="214"/>
      <c r="Q98" s="214"/>
      <c r="R98" s="213" t="s">
        <v>418</v>
      </c>
      <c r="S98" s="214"/>
      <c r="T98" s="214"/>
      <c r="U98" s="214"/>
      <c r="V98" s="214"/>
      <c r="W98" s="213" t="s">
        <v>418</v>
      </c>
      <c r="X98" s="214"/>
      <c r="Y98" s="214"/>
      <c r="Z98" s="214"/>
      <c r="AA98" s="214"/>
      <c r="AB98" s="213" t="s">
        <v>418</v>
      </c>
      <c r="AC98" s="214"/>
      <c r="AD98" s="214"/>
      <c r="AE98" s="214"/>
      <c r="AF98" s="214"/>
      <c r="AG98" s="213" t="s">
        <v>418</v>
      </c>
      <c r="AH98" s="214"/>
      <c r="AI98" s="214"/>
      <c r="AJ98" s="214"/>
      <c r="AK98" s="214"/>
      <c r="AL98" s="213" t="s">
        <v>418</v>
      </c>
      <c r="AM98" s="214"/>
      <c r="AN98" s="214"/>
      <c r="AO98" s="214"/>
      <c r="AP98" s="214"/>
      <c r="AQ98" s="213" t="s">
        <v>418</v>
      </c>
      <c r="AR98" s="214"/>
      <c r="AS98" s="214"/>
      <c r="AT98" s="214"/>
      <c r="AU98" s="214"/>
      <c r="AV98" s="213" t="s">
        <v>418</v>
      </c>
      <c r="AW98" s="214"/>
      <c r="AX98" s="214"/>
      <c r="AY98" s="214"/>
      <c r="AZ98" s="214"/>
      <c r="BA98" s="213" t="s">
        <v>418</v>
      </c>
      <c r="BB98" s="214"/>
      <c r="BC98" s="215"/>
      <c r="BD98" s="215"/>
      <c r="BE98" s="215"/>
    </row>
    <row r="99" spans="1:57" ht="15" customHeight="1">
      <c r="A99" s="259"/>
      <c r="B99" s="213" t="s">
        <v>419</v>
      </c>
      <c r="C99" s="213" t="s">
        <v>418</v>
      </c>
      <c r="D99" s="213" t="s">
        <v>428</v>
      </c>
      <c r="E99" s="213"/>
      <c r="F99" s="213"/>
      <c r="G99" s="213"/>
      <c r="H99" s="213" t="s">
        <v>418</v>
      </c>
      <c r="I99" s="213" t="s">
        <v>428</v>
      </c>
      <c r="J99" s="213" t="s">
        <v>719</v>
      </c>
      <c r="K99" s="213"/>
      <c r="L99" s="213"/>
      <c r="M99" s="213" t="s">
        <v>418</v>
      </c>
      <c r="N99" s="213" t="s">
        <v>428</v>
      </c>
      <c r="O99" s="213" t="s">
        <v>723</v>
      </c>
      <c r="P99" s="213"/>
      <c r="Q99" s="213"/>
      <c r="R99" s="213" t="s">
        <v>418</v>
      </c>
      <c r="S99" s="213" t="s">
        <v>428</v>
      </c>
      <c r="T99" s="213" t="s">
        <v>722</v>
      </c>
      <c r="U99" s="213"/>
      <c r="V99" s="213"/>
      <c r="W99" s="213" t="s">
        <v>418</v>
      </c>
      <c r="X99" s="213" t="s">
        <v>428</v>
      </c>
      <c r="Y99" s="213" t="s">
        <v>721</v>
      </c>
      <c r="Z99" s="213"/>
      <c r="AA99" s="213"/>
      <c r="AB99" s="213" t="s">
        <v>418</v>
      </c>
      <c r="AC99" s="213" t="s">
        <v>720</v>
      </c>
      <c r="AD99" s="213" t="s">
        <v>710</v>
      </c>
      <c r="AE99" s="213" t="s">
        <v>754</v>
      </c>
      <c r="AF99" s="213" t="s">
        <v>757</v>
      </c>
      <c r="AG99" s="213" t="s">
        <v>418</v>
      </c>
      <c r="AH99" s="213"/>
      <c r="AI99" s="213"/>
      <c r="AJ99" s="213"/>
      <c r="AK99" s="213"/>
      <c r="AL99" s="213" t="s">
        <v>418</v>
      </c>
      <c r="AM99" s="213"/>
      <c r="AN99" s="213"/>
      <c r="AO99" s="213"/>
      <c r="AP99" s="213"/>
      <c r="AQ99" s="213" t="s">
        <v>418</v>
      </c>
      <c r="AR99" s="213"/>
      <c r="AS99" s="213"/>
      <c r="AT99" s="213"/>
      <c r="AU99" s="213"/>
      <c r="AV99" s="213" t="s">
        <v>418</v>
      </c>
      <c r="AW99" s="213"/>
      <c r="AX99" s="213"/>
      <c r="AY99" s="213"/>
      <c r="AZ99" s="213"/>
      <c r="BA99" s="213" t="s">
        <v>418</v>
      </c>
      <c r="BB99" s="213"/>
      <c r="BC99" s="212"/>
      <c r="BD99" s="212"/>
      <c r="BE99" s="212"/>
    </row>
    <row r="100" spans="1:57" ht="15" customHeight="1">
      <c r="A100" s="259"/>
      <c r="B100" s="214"/>
      <c r="C100" s="213">
        <v>2042224</v>
      </c>
      <c r="D100" s="213"/>
      <c r="E100" s="213"/>
      <c r="F100" s="213"/>
      <c r="G100" s="213"/>
      <c r="H100" s="213">
        <f>C109</f>
        <v>2042224</v>
      </c>
      <c r="I100" s="213">
        <v>-550000</v>
      </c>
      <c r="J100" s="213">
        <v>-371200</v>
      </c>
      <c r="K100" s="213"/>
      <c r="L100" s="213"/>
      <c r="M100" s="213">
        <f>H109</f>
        <v>2548910</v>
      </c>
      <c r="N100" s="213">
        <v>-550000</v>
      </c>
      <c r="O100" s="213">
        <v>-34170</v>
      </c>
      <c r="P100" s="213"/>
      <c r="Q100" s="213"/>
      <c r="R100" s="213">
        <f>M109</f>
        <v>2042174</v>
      </c>
      <c r="S100" s="213">
        <v>-550000</v>
      </c>
      <c r="T100" s="213">
        <v>-1200</v>
      </c>
      <c r="U100" s="213"/>
      <c r="V100" s="213"/>
      <c r="W100" s="213">
        <f>R109</f>
        <v>6188750</v>
      </c>
      <c r="X100" s="213">
        <v>-550000</v>
      </c>
      <c r="Y100" s="213">
        <v>-1200</v>
      </c>
      <c r="Z100" s="213"/>
      <c r="AA100" s="213"/>
      <c r="AB100" s="213">
        <f>W109</f>
        <v>11338850</v>
      </c>
      <c r="AC100" s="213">
        <v>-93200</v>
      </c>
      <c r="AD100" s="213">
        <v>-538565</v>
      </c>
      <c r="AE100" s="213">
        <v>-30000</v>
      </c>
      <c r="AF100" s="213">
        <v>814000</v>
      </c>
      <c r="AG100" s="213">
        <f>AB109</f>
        <v>9495719</v>
      </c>
      <c r="AH100" s="213"/>
      <c r="AI100" s="213"/>
      <c r="AJ100" s="213"/>
      <c r="AK100" s="213"/>
      <c r="AL100" s="213">
        <f>AG109</f>
        <v>0</v>
      </c>
      <c r="AM100" s="213"/>
      <c r="AN100" s="213"/>
      <c r="AO100" s="213"/>
      <c r="AP100" s="213"/>
      <c r="AQ100" s="213">
        <f>AL109</f>
        <v>0</v>
      </c>
      <c r="AR100" s="213"/>
      <c r="AS100" s="213"/>
      <c r="AT100" s="213"/>
      <c r="AU100" s="213"/>
      <c r="AV100" s="213">
        <f>AQ109</f>
        <v>0</v>
      </c>
      <c r="AW100" s="213"/>
      <c r="AX100" s="213"/>
      <c r="AY100" s="213"/>
      <c r="AZ100" s="213"/>
      <c r="BA100" s="213">
        <f>AV109</f>
        <v>0</v>
      </c>
      <c r="BB100" s="213"/>
      <c r="BC100" s="212"/>
      <c r="BD100" s="212"/>
      <c r="BE100" s="212"/>
    </row>
    <row r="101" spans="1:57" ht="15" customHeight="1">
      <c r="A101" s="259"/>
      <c r="B101" s="213" t="s">
        <v>419</v>
      </c>
      <c r="C101" s="213" t="s">
        <v>429</v>
      </c>
      <c r="D101" s="213"/>
      <c r="E101" s="213"/>
      <c r="F101" s="213"/>
      <c r="G101" s="213"/>
      <c r="H101" s="213" t="s">
        <v>706</v>
      </c>
      <c r="I101" s="213" t="s">
        <v>710</v>
      </c>
      <c r="J101" s="213" t="s">
        <v>712</v>
      </c>
      <c r="K101" s="213"/>
      <c r="L101" s="213"/>
      <c r="M101" s="213" t="s">
        <v>705</v>
      </c>
      <c r="N101" s="213" t="s">
        <v>719</v>
      </c>
      <c r="O101" s="213" t="s">
        <v>706</v>
      </c>
      <c r="P101" s="213"/>
      <c r="Q101" s="213"/>
      <c r="R101" s="213" t="s">
        <v>705</v>
      </c>
      <c r="S101" s="213" t="s">
        <v>718</v>
      </c>
      <c r="T101" s="213" t="s">
        <v>706</v>
      </c>
      <c r="U101" s="213"/>
      <c r="V101" s="213"/>
      <c r="W101" s="213" t="s">
        <v>717</v>
      </c>
      <c r="X101" s="213" t="s">
        <v>716</v>
      </c>
      <c r="Y101" s="213" t="s">
        <v>710</v>
      </c>
      <c r="Z101" s="213"/>
      <c r="AA101" s="213"/>
      <c r="AB101" s="213" t="s">
        <v>708</v>
      </c>
      <c r="AC101" s="213" t="s">
        <v>715</v>
      </c>
      <c r="AD101" s="213" t="s">
        <v>714</v>
      </c>
      <c r="AE101" s="213" t="s">
        <v>755</v>
      </c>
      <c r="AF101" s="213" t="s">
        <v>759</v>
      </c>
      <c r="AG101" s="213" t="s">
        <v>760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  <c r="BC101" s="212"/>
      <c r="BD101" s="212"/>
      <c r="BE101" s="212"/>
    </row>
    <row r="102" spans="1:57" ht="15" customHeight="1">
      <c r="A102" s="259"/>
      <c r="B102" s="214"/>
      <c r="C102" s="213"/>
      <c r="D102" s="213"/>
      <c r="E102" s="213"/>
      <c r="F102" s="213"/>
      <c r="G102" s="213"/>
      <c r="H102" s="213">
        <f>-663684+E117</f>
        <v>-411132</v>
      </c>
      <c r="I102" s="213">
        <v>-604883</v>
      </c>
      <c r="J102" s="213">
        <v>-50330</v>
      </c>
      <c r="K102" s="213"/>
      <c r="L102" s="213"/>
      <c r="M102" s="213">
        <v>-428190</v>
      </c>
      <c r="N102" s="213">
        <v>-12000</v>
      </c>
      <c r="O102" s="213">
        <v>-666160</v>
      </c>
      <c r="P102" s="213"/>
      <c r="Q102" s="213"/>
      <c r="R102" s="213">
        <v>-178820</v>
      </c>
      <c r="S102" s="213">
        <v>-56770</v>
      </c>
      <c r="T102" s="213">
        <v>-601612</v>
      </c>
      <c r="U102" s="213"/>
      <c r="V102" s="213"/>
      <c r="W102" s="213">
        <v>-55000</v>
      </c>
      <c r="X102" s="213">
        <v>-265210</v>
      </c>
      <c r="Y102" s="213">
        <v>-743852</v>
      </c>
      <c r="Z102" s="213"/>
      <c r="AA102" s="213"/>
      <c r="AB102" s="213">
        <v>-383984</v>
      </c>
      <c r="AC102" s="213">
        <v>-387960</v>
      </c>
      <c r="AD102" s="213">
        <v>-550361</v>
      </c>
      <c r="AE102" s="213">
        <v>-70000</v>
      </c>
      <c r="AF102" s="213">
        <v>300000</v>
      </c>
      <c r="AG102" s="213">
        <v>165100</v>
      </c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  <c r="BC102" s="212"/>
      <c r="BD102" s="212"/>
      <c r="BE102" s="212"/>
    </row>
    <row r="103" spans="1:57" ht="15" customHeight="1">
      <c r="A103" s="259"/>
      <c r="B103" s="213" t="s">
        <v>419</v>
      </c>
      <c r="C103" s="213"/>
      <c r="D103" s="213"/>
      <c r="E103" s="213"/>
      <c r="F103" s="213"/>
      <c r="G103" s="213"/>
      <c r="H103" s="213" t="s">
        <v>493</v>
      </c>
      <c r="I103" s="213" t="s">
        <v>493</v>
      </c>
      <c r="J103" s="213" t="s">
        <v>713</v>
      </c>
      <c r="K103" s="213"/>
      <c r="L103" s="213"/>
      <c r="M103" s="213" t="s">
        <v>712</v>
      </c>
      <c r="N103" s="213" t="s">
        <v>710</v>
      </c>
      <c r="O103" s="213" t="s">
        <v>711</v>
      </c>
      <c r="P103" s="213"/>
      <c r="Q103" s="213"/>
      <c r="R103" s="213" t="s">
        <v>710</v>
      </c>
      <c r="S103" s="213" t="s">
        <v>708</v>
      </c>
      <c r="T103" s="213" t="s">
        <v>709</v>
      </c>
      <c r="U103" s="213"/>
      <c r="V103" s="213"/>
      <c r="W103" s="213" t="s">
        <v>708</v>
      </c>
      <c r="X103" s="213" t="s">
        <v>706</v>
      </c>
      <c r="Y103" s="213" t="s">
        <v>707</v>
      </c>
      <c r="Z103" s="213"/>
      <c r="AA103" s="213"/>
      <c r="AB103" s="213" t="s">
        <v>706</v>
      </c>
      <c r="AC103" s="213" t="s">
        <v>705</v>
      </c>
      <c r="AD103" s="213" t="s">
        <v>704</v>
      </c>
      <c r="AE103" s="213" t="s">
        <v>689</v>
      </c>
      <c r="AF103" s="213" t="s">
        <v>598</v>
      </c>
      <c r="AG103" s="213" t="s">
        <v>761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  <c r="BC103" s="212"/>
      <c r="BD103" s="212"/>
      <c r="BE103" s="212"/>
    </row>
    <row r="104" spans="1:57" ht="15" customHeight="1">
      <c r="A104" s="259"/>
      <c r="B104" s="214"/>
      <c r="C104" s="213"/>
      <c r="D104" s="213"/>
      <c r="E104" s="213"/>
      <c r="F104" s="213"/>
      <c r="G104" s="213"/>
      <c r="H104" s="213">
        <v>3419</v>
      </c>
      <c r="I104" s="213">
        <v>-58908</v>
      </c>
      <c r="J104" s="213">
        <f>2191720-200000</f>
        <v>1991720</v>
      </c>
      <c r="K104" s="213"/>
      <c r="L104" s="213"/>
      <c r="M104" s="213">
        <v>-257470</v>
      </c>
      <c r="N104" s="213">
        <v>-725751</v>
      </c>
      <c r="O104" s="213">
        <v>-55000</v>
      </c>
      <c r="P104" s="213"/>
      <c r="Q104" s="213"/>
      <c r="R104" s="213">
        <v>-821239</v>
      </c>
      <c r="S104" s="213">
        <v>-177820</v>
      </c>
      <c r="T104" s="213">
        <v>345287</v>
      </c>
      <c r="U104" s="213"/>
      <c r="V104" s="213"/>
      <c r="W104" s="213">
        <f>-200250-2450</f>
        <v>-202700</v>
      </c>
      <c r="X104" s="213">
        <v>-731745</v>
      </c>
      <c r="Y104" s="213">
        <f>7684473+15334-250000</f>
        <v>7449807</v>
      </c>
      <c r="Z104" s="213"/>
      <c r="AA104" s="213"/>
      <c r="AB104" s="213">
        <v>-1383483</v>
      </c>
      <c r="AC104" s="213">
        <v>-336100</v>
      </c>
      <c r="AD104" s="213">
        <v>-93420</v>
      </c>
      <c r="AE104" s="213">
        <v>-100000</v>
      </c>
      <c r="AF104" s="213">
        <v>-54948</v>
      </c>
      <c r="AG104" s="213">
        <v>-4848153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  <c r="BC104" s="212"/>
      <c r="BD104" s="212"/>
      <c r="BE104" s="212"/>
    </row>
    <row r="105" spans="1:57" ht="15" customHeight="1">
      <c r="A105" s="259"/>
      <c r="B105" s="213" t="s">
        <v>419</v>
      </c>
      <c r="C105" s="213"/>
      <c r="D105" s="213"/>
      <c r="E105" s="213"/>
      <c r="F105" s="213"/>
      <c r="G105" s="213"/>
      <c r="H105" s="213" t="s">
        <v>703</v>
      </c>
      <c r="I105" s="213"/>
      <c r="J105" s="213"/>
      <c r="K105" s="213"/>
      <c r="L105" s="213"/>
      <c r="M105" s="213" t="s">
        <v>493</v>
      </c>
      <c r="N105" s="213" t="s">
        <v>702</v>
      </c>
      <c r="O105" s="213"/>
      <c r="P105" s="213"/>
      <c r="Q105" s="213"/>
      <c r="R105" s="213" t="s">
        <v>422</v>
      </c>
      <c r="S105" s="213"/>
      <c r="T105" s="213"/>
      <c r="U105" s="213"/>
      <c r="V105" s="213"/>
      <c r="W105" s="213" t="s">
        <v>701</v>
      </c>
      <c r="X105" s="213"/>
      <c r="Y105" s="213"/>
      <c r="Z105" s="213"/>
      <c r="AA105" s="213"/>
      <c r="AB105" s="213" t="s">
        <v>700</v>
      </c>
      <c r="AC105" s="213" t="s">
        <v>428</v>
      </c>
      <c r="AD105" s="213" t="s">
        <v>699</v>
      </c>
      <c r="AE105" s="213" t="s">
        <v>756</v>
      </c>
      <c r="AF105" s="213" t="s">
        <v>598</v>
      </c>
      <c r="AG105" s="213" t="s">
        <v>763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  <c r="BC105" s="212"/>
      <c r="BD105" s="212"/>
      <c r="BE105" s="212"/>
    </row>
    <row r="106" spans="1:57" ht="15" customHeight="1">
      <c r="A106" s="259"/>
      <c r="B106" s="214"/>
      <c r="C106" s="213"/>
      <c r="D106" s="213"/>
      <c r="E106" s="213"/>
      <c r="F106" s="213"/>
      <c r="G106" s="213"/>
      <c r="H106" s="213">
        <v>558000</v>
      </c>
      <c r="I106" s="213"/>
      <c r="J106" s="213"/>
      <c r="K106" s="213"/>
      <c r="L106" s="213"/>
      <c r="M106" s="213">
        <v>179831</v>
      </c>
      <c r="N106" s="213">
        <v>2042174</v>
      </c>
      <c r="O106" s="213"/>
      <c r="P106" s="213"/>
      <c r="Q106" s="213"/>
      <c r="R106" s="213">
        <v>6188750</v>
      </c>
      <c r="S106" s="213"/>
      <c r="T106" s="213"/>
      <c r="U106" s="213"/>
      <c r="V106" s="213"/>
      <c r="W106" s="213">
        <v>250000</v>
      </c>
      <c r="X106" s="213"/>
      <c r="Y106" s="213"/>
      <c r="Z106" s="213"/>
      <c r="AA106" s="213"/>
      <c r="AB106" s="213">
        <v>-585198</v>
      </c>
      <c r="AC106" s="213">
        <v>-391000</v>
      </c>
      <c r="AD106" s="213">
        <v>2017599</v>
      </c>
      <c r="AE106" s="213">
        <v>-11000</v>
      </c>
      <c r="AF106" s="213">
        <v>34489</v>
      </c>
      <c r="AG106" s="213">
        <v>-4812666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  <c r="BC106" s="212"/>
      <c r="BD106" s="212"/>
      <c r="BE106" s="212"/>
    </row>
    <row r="107" spans="1:57" ht="19.2">
      <c r="A107" s="259"/>
      <c r="B107" s="213" t="s">
        <v>419</v>
      </c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  <c r="BC107" s="212"/>
      <c r="BD107" s="212"/>
      <c r="BE107" s="212"/>
    </row>
    <row r="108" spans="1:57" ht="19.2">
      <c r="A108" s="260"/>
      <c r="B108" s="214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  <c r="BC108" s="212"/>
      <c r="BD108" s="212"/>
      <c r="BE108" s="212"/>
    </row>
    <row r="109" spans="1:57" ht="15" customHeight="1">
      <c r="A109" s="211" t="s">
        <v>417</v>
      </c>
      <c r="B109" s="210"/>
      <c r="C109" s="245">
        <f>SUM(C100:G100,C102:G102,C104:G104,C106:G106,C108:G108)</f>
        <v>2042224</v>
      </c>
      <c r="D109" s="239"/>
      <c r="E109" s="239"/>
      <c r="F109" s="239"/>
      <c r="G109" s="240"/>
      <c r="H109" s="245">
        <f>SUM(H100:L100,H102:L102,H104:L104,H106:L106,H108:L108)</f>
        <v>2548910</v>
      </c>
      <c r="I109" s="239"/>
      <c r="J109" s="239"/>
      <c r="K109" s="239"/>
      <c r="L109" s="240"/>
      <c r="M109" s="245">
        <f>SUM(M100:Q100,M102:Q102,M104:Q104,M106:Q106,M108:Q108)</f>
        <v>2042174</v>
      </c>
      <c r="N109" s="239"/>
      <c r="O109" s="239"/>
      <c r="P109" s="239"/>
      <c r="Q109" s="240"/>
      <c r="R109" s="245">
        <f>SUM(R100:V100,R102:V102,R104:V104,R106:V106,R108:V108)</f>
        <v>6188750</v>
      </c>
      <c r="S109" s="239"/>
      <c r="T109" s="239"/>
      <c r="U109" s="239"/>
      <c r="V109" s="240"/>
      <c r="W109" s="245">
        <f>SUM(W100:AA100,W102:AA102,W104:AA104,W106:AA106,W108:AA108)</f>
        <v>11338850</v>
      </c>
      <c r="X109" s="239"/>
      <c r="Y109" s="239"/>
      <c r="Z109" s="239"/>
      <c r="AA109" s="240"/>
      <c r="AB109" s="245">
        <f>SUM(AB100:AF100,AB102:AF102,AB104:AF104,AB106:AF106,AB108:AF108)</f>
        <v>9495719</v>
      </c>
      <c r="AC109" s="239"/>
      <c r="AD109" s="239"/>
      <c r="AE109" s="239"/>
      <c r="AF109" s="240"/>
      <c r="AG109" s="245">
        <f>SUM(AG100:AK100,AG102:AK102,AG104:AK104,AG106:AK106,AG108:AK108)</f>
        <v>0</v>
      </c>
      <c r="AH109" s="239"/>
      <c r="AI109" s="239"/>
      <c r="AJ109" s="239"/>
      <c r="AK109" s="240"/>
      <c r="AL109" s="245">
        <f>SUM(AL100:AP100,AL102:AP102,AL104:AP104,AL106:AP106,AL108:AP108)</f>
        <v>0</v>
      </c>
      <c r="AM109" s="239"/>
      <c r="AN109" s="239"/>
      <c r="AO109" s="239"/>
      <c r="AP109" s="240"/>
      <c r="AQ109" s="245">
        <f>SUM(AQ100:AU100,AQ102:AU102,AQ104:AU104,AQ106:AU106,AQ108:AU108)</f>
        <v>0</v>
      </c>
      <c r="AR109" s="239"/>
      <c r="AS109" s="239"/>
      <c r="AT109" s="239"/>
      <c r="AU109" s="240"/>
      <c r="AV109" s="245">
        <f>SUM(AV100:AZ100,AV102:AZ102,AV104:AZ104,AV106:AZ106,AV108:AZ108)</f>
        <v>0</v>
      </c>
      <c r="AW109" s="239"/>
      <c r="AX109" s="239"/>
      <c r="AY109" s="239"/>
      <c r="AZ109" s="240"/>
      <c r="BA109" s="245">
        <f>SUM(BA100:BE100,BA102:BE102,BA104:BE104,BA106:BE106,BA108:BE108)</f>
        <v>0</v>
      </c>
      <c r="BB109" s="239"/>
      <c r="BC109" s="239"/>
      <c r="BD109" s="239"/>
      <c r="BE109" s="240"/>
    </row>
    <row r="110" spans="1:57" ht="15" customHeight="1" thickBot="1">
      <c r="A110" s="262" t="s">
        <v>430</v>
      </c>
      <c r="B110" s="256"/>
      <c r="C110" s="255">
        <f>SUM(C13,C25,C37,C49,C61,C73,C85,C97,C109)</f>
        <v>4807335</v>
      </c>
      <c r="D110" s="252"/>
      <c r="E110" s="252"/>
      <c r="F110" s="252"/>
      <c r="G110" s="256"/>
      <c r="H110" s="255">
        <f>SUM(H13,H25,H37,H49,H61,H73,H85,H97,H109)</f>
        <v>5445728</v>
      </c>
      <c r="I110" s="252"/>
      <c r="J110" s="252"/>
      <c r="K110" s="252"/>
      <c r="L110" s="256"/>
      <c r="M110" s="255">
        <f>SUM(M13,M25,M37,M49,M61,M73,M85,M97,M109)</f>
        <v>4705400</v>
      </c>
      <c r="N110" s="252"/>
      <c r="O110" s="252"/>
      <c r="P110" s="252"/>
      <c r="Q110" s="256"/>
      <c r="R110" s="255">
        <f>SUM(R13,R25,R37,R49,R61,R73,R85,R97,R109)</f>
        <v>8620449</v>
      </c>
      <c r="S110" s="252"/>
      <c r="T110" s="252"/>
      <c r="U110" s="252"/>
      <c r="V110" s="256"/>
      <c r="W110" s="255">
        <f>SUM(W13,W25,W37,W49,W61,W73,W85,W97,W109)</f>
        <v>12918210</v>
      </c>
      <c r="X110" s="252"/>
      <c r="Y110" s="252"/>
      <c r="Z110" s="252"/>
      <c r="AA110" s="256"/>
      <c r="AB110" s="257">
        <f>SUM(AB13,AB25,AB37,AB49,AB61,AB73,AB85,AB97,AB109)</f>
        <v>11495719</v>
      </c>
      <c r="AC110" s="252"/>
      <c r="AD110" s="252"/>
      <c r="AE110" s="252"/>
      <c r="AF110" s="256"/>
      <c r="AG110" s="255">
        <f>SUM(AG13,AG25,AG37,AG49,AG61,AG73,AG85,AG97,AG109)</f>
        <v>8538603</v>
      </c>
      <c r="AH110" s="252"/>
      <c r="AI110" s="252"/>
      <c r="AJ110" s="252"/>
      <c r="AK110" s="256"/>
      <c r="AL110" s="255">
        <f>SUM(AL13,AL25,AL37,AL49,AL61,AL73,AL85,AL97,AL109)</f>
        <v>8538603</v>
      </c>
      <c r="AM110" s="252"/>
      <c r="AN110" s="252"/>
      <c r="AO110" s="252"/>
      <c r="AP110" s="256"/>
      <c r="AQ110" s="255">
        <f>SUM(AQ13,AQ25,AQ37,AQ49,AQ61,AQ73,AQ85,AQ97,AQ109)</f>
        <v>8538603</v>
      </c>
      <c r="AR110" s="252"/>
      <c r="AS110" s="252"/>
      <c r="AT110" s="252"/>
      <c r="AU110" s="256"/>
      <c r="AV110" s="255">
        <f>SUM(AV13,AV25,AV37,AV49,AV61,AV73,AV85,AV97,AV109)</f>
        <v>8538603</v>
      </c>
      <c r="AW110" s="252"/>
      <c r="AX110" s="252"/>
      <c r="AY110" s="252"/>
      <c r="AZ110" s="256"/>
      <c r="BA110" s="251">
        <f>SUM(BA13,BA25,BA37,BA49,BA61,BA73,BA85,BA97,BA109)</f>
        <v>8538603</v>
      </c>
      <c r="BB110" s="252"/>
      <c r="BC110" s="252"/>
      <c r="BD110" s="252"/>
      <c r="BE110" s="253"/>
    </row>
    <row r="111" spans="1:57" ht="19.2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194"/>
      <c r="BA111" s="194"/>
      <c r="BB111" s="194"/>
      <c r="BC111" s="194"/>
      <c r="BD111" s="194"/>
      <c r="BE111" s="194"/>
    </row>
    <row r="112" spans="1:57" ht="18" customHeight="1">
      <c r="A112" s="194"/>
      <c r="B112" s="194"/>
      <c r="C112" s="209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208"/>
      <c r="AE112" s="208"/>
      <c r="AF112" s="200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  <c r="AV112" s="194"/>
      <c r="AW112" s="194"/>
      <c r="AX112" s="194"/>
      <c r="AY112" s="194"/>
      <c r="AZ112" s="194"/>
      <c r="BA112" s="194"/>
      <c r="BB112" s="194"/>
      <c r="BC112" s="194"/>
      <c r="BD112" s="194"/>
      <c r="BE112" s="194"/>
    </row>
    <row r="113" spans="1:57" ht="19.2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207"/>
      <c r="AE113" s="207"/>
      <c r="AF113" s="207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  <c r="BB113" s="194"/>
      <c r="BC113" s="194"/>
      <c r="BD113" s="194"/>
      <c r="BE113" s="194"/>
    </row>
    <row r="114" spans="1:57" ht="19.2">
      <c r="A114" s="194"/>
      <c r="B114" s="194"/>
      <c r="C114" s="206" t="s">
        <v>698</v>
      </c>
      <c r="D114" s="205"/>
      <c r="E114" s="205"/>
      <c r="F114" s="205"/>
      <c r="G114" s="205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204"/>
      <c r="AE114" s="204"/>
      <c r="AF114" s="20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4"/>
      <c r="BE114" s="194"/>
    </row>
    <row r="115" spans="1:57" ht="18" customHeight="1">
      <c r="A115" s="194"/>
      <c r="B115" s="194"/>
      <c r="C115" s="203"/>
      <c r="D115" s="202"/>
      <c r="E115" s="201"/>
      <c r="F115" s="201"/>
      <c r="G115" s="201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200"/>
      <c r="AE115" s="200"/>
      <c r="AF115" s="200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  <c r="BB115" s="194"/>
      <c r="BC115" s="194"/>
      <c r="BD115" s="194"/>
      <c r="BE115" s="194"/>
    </row>
    <row r="116" spans="1:57" ht="18" customHeight="1">
      <c r="A116" s="194"/>
      <c r="B116" s="194"/>
      <c r="C116" s="199" t="s">
        <v>366</v>
      </c>
      <c r="D116" s="198" t="s">
        <v>697</v>
      </c>
      <c r="E116" s="198" t="s">
        <v>696</v>
      </c>
      <c r="F116" s="198"/>
      <c r="G116" s="198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5"/>
      <c r="AE116" s="195"/>
      <c r="AF116" s="195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</row>
    <row r="117" spans="1:57" ht="18" customHeight="1">
      <c r="A117" s="194"/>
      <c r="B117" s="194"/>
      <c r="C117" s="197">
        <v>260100</v>
      </c>
      <c r="D117" s="198">
        <v>7548</v>
      </c>
      <c r="E117" s="197">
        <f>C117-D117</f>
        <v>252552</v>
      </c>
      <c r="F117" s="197"/>
      <c r="G117" s="197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6"/>
      <c r="AE117" s="196"/>
      <c r="AF117" s="196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</row>
    <row r="118" spans="1:57" ht="19.2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5"/>
      <c r="AE118" s="195"/>
      <c r="AF118" s="195"/>
      <c r="AG118" s="194"/>
      <c r="AH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</row>
  </sheetData>
  <mergeCells count="131">
    <mergeCell ref="C1:G1"/>
    <mergeCell ref="W1:AA1"/>
    <mergeCell ref="A14:A24"/>
    <mergeCell ref="M13:Q13"/>
    <mergeCell ref="M25:Q25"/>
    <mergeCell ref="AB13:AF13"/>
    <mergeCell ref="A62:A72"/>
    <mergeCell ref="C37:G37"/>
    <mergeCell ref="W37:AA37"/>
    <mergeCell ref="C13:G13"/>
    <mergeCell ref="W13:AA13"/>
    <mergeCell ref="AB61:AF61"/>
    <mergeCell ref="H37:L37"/>
    <mergeCell ref="AB49:AF49"/>
    <mergeCell ref="A26:A36"/>
    <mergeCell ref="C25:G25"/>
    <mergeCell ref="A2:A12"/>
    <mergeCell ref="A38:A48"/>
    <mergeCell ref="A50:A60"/>
    <mergeCell ref="A74:A84"/>
    <mergeCell ref="AG25:AK25"/>
    <mergeCell ref="AG85:AK85"/>
    <mergeCell ref="A98:A108"/>
    <mergeCell ref="C110:G110"/>
    <mergeCell ref="AG61:AK61"/>
    <mergeCell ref="R85:V85"/>
    <mergeCell ref="C61:G61"/>
    <mergeCell ref="AG110:AK110"/>
    <mergeCell ref="A110:B110"/>
    <mergeCell ref="A86:A96"/>
    <mergeCell ref="C97:G97"/>
    <mergeCell ref="H85:L85"/>
    <mergeCell ref="W97:AA97"/>
    <mergeCell ref="AG49:AK49"/>
    <mergeCell ref="R37:V37"/>
    <mergeCell ref="W85:AA85"/>
    <mergeCell ref="AB37:AF37"/>
    <mergeCell ref="R61:V61"/>
    <mergeCell ref="C49:G49"/>
    <mergeCell ref="AG73:AK73"/>
    <mergeCell ref="W49:AA49"/>
    <mergeCell ref="H61:L61"/>
    <mergeCell ref="AL110:AP110"/>
    <mergeCell ref="H25:L25"/>
    <mergeCell ref="C109:G109"/>
    <mergeCell ref="M110:Q110"/>
    <mergeCell ref="R49:V49"/>
    <mergeCell ref="AL85:AP85"/>
    <mergeCell ref="AL109:AP109"/>
    <mergeCell ref="H97:L97"/>
    <mergeCell ref="M37:Q37"/>
    <mergeCell ref="M49:Q49"/>
    <mergeCell ref="AL97:AP97"/>
    <mergeCell ref="M85:Q85"/>
    <mergeCell ref="AB110:AF110"/>
    <mergeCell ref="C73:G73"/>
    <mergeCell ref="M73:Q73"/>
    <mergeCell ref="AL37:AP37"/>
    <mergeCell ref="AL49:AP49"/>
    <mergeCell ref="AV110:AZ110"/>
    <mergeCell ref="AB25:AF25"/>
    <mergeCell ref="R25:V25"/>
    <mergeCell ref="AL25:AP25"/>
    <mergeCell ref="AV73:AZ73"/>
    <mergeCell ref="H49:L49"/>
    <mergeCell ref="H110:L110"/>
    <mergeCell ref="W110:AA110"/>
    <mergeCell ref="C85:G85"/>
    <mergeCell ref="H73:L73"/>
    <mergeCell ref="M109:Q109"/>
    <mergeCell ref="AV109:AZ109"/>
    <mergeCell ref="AV61:AZ61"/>
    <mergeCell ref="AV85:AZ85"/>
    <mergeCell ref="W73:AA73"/>
    <mergeCell ref="AB85:AF85"/>
    <mergeCell ref="AQ110:AU110"/>
    <mergeCell ref="AV25:AZ25"/>
    <mergeCell ref="AV37:AZ37"/>
    <mergeCell ref="AQ49:AU49"/>
    <mergeCell ref="AV49:AZ49"/>
    <mergeCell ref="AQ25:AU25"/>
    <mergeCell ref="AQ61:AU61"/>
    <mergeCell ref="AQ73:AU73"/>
    <mergeCell ref="BA110:BE110"/>
    <mergeCell ref="R73:V73"/>
    <mergeCell ref="W25:AA25"/>
    <mergeCell ref="AV1:AZ1"/>
    <mergeCell ref="AB73:AF73"/>
    <mergeCell ref="AG109:AK109"/>
    <mergeCell ref="AQ85:AU85"/>
    <mergeCell ref="BA109:BE109"/>
    <mergeCell ref="BA13:BE13"/>
    <mergeCell ref="BA37:BE37"/>
    <mergeCell ref="R110:V110"/>
    <mergeCell ref="AG97:AK97"/>
    <mergeCell ref="R109:V109"/>
    <mergeCell ref="AB1:AF1"/>
    <mergeCell ref="BA85:BE85"/>
    <mergeCell ref="BA1:BE1"/>
    <mergeCell ref="AV13:AZ13"/>
    <mergeCell ref="AG13:AK13"/>
    <mergeCell ref="R13:V13"/>
    <mergeCell ref="AL61:AP61"/>
    <mergeCell ref="AL1:AP1"/>
    <mergeCell ref="AQ1:AU1"/>
    <mergeCell ref="AQ13:AU13"/>
    <mergeCell ref="AQ109:AU109"/>
    <mergeCell ref="BA97:BE97"/>
    <mergeCell ref="BA73:BE73"/>
    <mergeCell ref="AG1:AK1"/>
    <mergeCell ref="W109:AA109"/>
    <mergeCell ref="H13:L13"/>
    <mergeCell ref="BA49:BE49"/>
    <mergeCell ref="AG37:AK37"/>
    <mergeCell ref="M61:Q61"/>
    <mergeCell ref="W61:AA61"/>
    <mergeCell ref="AL73:AP73"/>
    <mergeCell ref="H109:L109"/>
    <mergeCell ref="AB109:AF109"/>
    <mergeCell ref="AV97:AZ97"/>
    <mergeCell ref="R97:V97"/>
    <mergeCell ref="AB97:AF97"/>
    <mergeCell ref="M97:Q97"/>
    <mergeCell ref="BA25:BE25"/>
    <mergeCell ref="BA61:BE61"/>
    <mergeCell ref="AQ37:AU37"/>
    <mergeCell ref="AQ97:AU97"/>
    <mergeCell ref="M1:Q1"/>
    <mergeCell ref="R1:V1"/>
    <mergeCell ref="H1:L1"/>
    <mergeCell ref="AL13:AP13"/>
  </mergeCells>
  <phoneticPr fontId="4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8D8F-17DC-0542-8D33-4EC40147B0B7}">
  <sheetPr codeName="Sheet3"/>
  <dimension ref="A1:Q16"/>
  <sheetViews>
    <sheetView workbookViewId="0">
      <selection activeCell="Q19" sqref="Q19"/>
    </sheetView>
  </sheetViews>
  <sheetFormatPr defaultColWidth="10.81640625" defaultRowHeight="19.2"/>
  <cols>
    <col min="16" max="16" width="11.7265625" bestFit="1" customWidth="1"/>
    <col min="17" max="17" width="13" bestFit="1" customWidth="1"/>
  </cols>
  <sheetData>
    <row r="1" spans="1:17" ht="19.8" thickBot="1">
      <c r="A1" s="51"/>
      <c r="B1" t="s">
        <v>256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 t="s">
        <v>53</v>
      </c>
      <c r="N1" s="41" t="s">
        <v>95</v>
      </c>
      <c r="O1" s="64" t="s">
        <v>28</v>
      </c>
      <c r="P1" s="51"/>
      <c r="Q1" s="51"/>
    </row>
    <row r="2" spans="1:17">
      <c r="A2" s="56" t="s">
        <v>58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8"/>
      <c r="O2" s="53">
        <f>SUM(B2:N2)</f>
        <v>0</v>
      </c>
      <c r="P2" s="63"/>
      <c r="Q2" s="61"/>
    </row>
    <row r="3" spans="1:17">
      <c r="A3" s="50" t="s">
        <v>57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8"/>
      <c r="O3" s="48">
        <f>SUM(B3:N3)</f>
        <v>0</v>
      </c>
      <c r="P3" s="63"/>
      <c r="Q3" s="61"/>
    </row>
    <row r="4" spans="1:17" ht="19.8" thickBot="1">
      <c r="A4" s="47" t="s">
        <v>54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8"/>
      <c r="O4" s="45">
        <f>SUM(B4:N4)</f>
        <v>0</v>
      </c>
      <c r="P4" s="63"/>
      <c r="Q4" s="61"/>
    </row>
    <row r="5" spans="1:17" ht="19.8" thickBot="1">
      <c r="A5" s="51"/>
      <c r="B5" s="41" t="s">
        <v>94</v>
      </c>
      <c r="C5" s="41" t="s">
        <v>93</v>
      </c>
      <c r="D5" s="41" t="s">
        <v>92</v>
      </c>
      <c r="E5" s="41" t="s">
        <v>91</v>
      </c>
      <c r="F5" s="41" t="s">
        <v>90</v>
      </c>
      <c r="G5" s="41" t="s">
        <v>89</v>
      </c>
      <c r="H5" s="41" t="s">
        <v>88</v>
      </c>
      <c r="I5" s="41" t="s">
        <v>87</v>
      </c>
      <c r="J5" s="41" t="s">
        <v>86</v>
      </c>
      <c r="K5" s="41" t="s">
        <v>85</v>
      </c>
      <c r="L5" s="41" t="s">
        <v>84</v>
      </c>
      <c r="M5" s="41" t="s">
        <v>83</v>
      </c>
      <c r="N5" s="41"/>
      <c r="O5" s="57"/>
      <c r="P5" s="51"/>
      <c r="Q5" s="61"/>
    </row>
    <row r="6" spans="1:17">
      <c r="A6" s="56" t="s">
        <v>58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8"/>
      <c r="O6" s="53">
        <f>O2+SUM(B6:N6)</f>
        <v>0</v>
      </c>
      <c r="P6" s="62"/>
      <c r="Q6" s="61"/>
    </row>
    <row r="7" spans="1:17">
      <c r="A7" s="50" t="s">
        <v>57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177">
        <v>600000</v>
      </c>
      <c r="O7" s="181">
        <f>O3+SUM(B7:N7)</f>
        <v>600000</v>
      </c>
      <c r="P7" s="52"/>
      <c r="Q7" s="51"/>
    </row>
    <row r="8" spans="1:17" ht="19.8" thickBot="1">
      <c r="A8" s="47" t="s">
        <v>54</v>
      </c>
      <c r="B8" s="117">
        <v>200000</v>
      </c>
      <c r="C8" s="137">
        <v>300000</v>
      </c>
      <c r="D8" s="117">
        <v>200000</v>
      </c>
      <c r="E8" s="142">
        <v>200000</v>
      </c>
      <c r="F8" s="117">
        <v>200000</v>
      </c>
      <c r="G8" s="117">
        <v>200000</v>
      </c>
      <c r="H8" s="117">
        <v>200000</v>
      </c>
      <c r="I8" s="117">
        <v>200000</v>
      </c>
      <c r="J8" s="176">
        <v>300000</v>
      </c>
      <c r="K8" s="117">
        <v>200000</v>
      </c>
      <c r="L8" s="117">
        <v>200000</v>
      </c>
      <c r="M8" s="117">
        <v>200000</v>
      </c>
      <c r="N8" s="177">
        <v>400000</v>
      </c>
      <c r="O8" s="182">
        <f>O4+SUM(B8:N8)</f>
        <v>3000000</v>
      </c>
      <c r="P8" s="52"/>
      <c r="Q8" s="51"/>
    </row>
    <row r="9" spans="1:17" ht="19.8" thickBot="1">
      <c r="A9" s="51"/>
      <c r="B9" s="41" t="s">
        <v>40</v>
      </c>
      <c r="C9" s="41" t="s">
        <v>82</v>
      </c>
      <c r="D9" s="41" t="s">
        <v>81</v>
      </c>
      <c r="E9" s="41" t="s">
        <v>80</v>
      </c>
      <c r="F9" s="41" t="s">
        <v>79</v>
      </c>
      <c r="G9" s="41" t="s">
        <v>78</v>
      </c>
      <c r="H9" s="41" t="s">
        <v>77</v>
      </c>
      <c r="I9" s="41" t="s">
        <v>76</v>
      </c>
      <c r="J9" s="41" t="s">
        <v>75</v>
      </c>
      <c r="K9" s="41" t="s">
        <v>74</v>
      </c>
      <c r="L9" s="41" t="s">
        <v>73</v>
      </c>
      <c r="M9" s="41" t="s">
        <v>72</v>
      </c>
      <c r="N9" s="41"/>
      <c r="O9" s="57"/>
      <c r="P9" s="41" t="s">
        <v>71</v>
      </c>
      <c r="Q9" s="51"/>
    </row>
    <row r="10" spans="1:17">
      <c r="A10" s="56" t="s">
        <v>58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117">
        <v>200000</v>
      </c>
      <c r="M10" s="117">
        <v>200000</v>
      </c>
      <c r="N10" s="180">
        <v>1000000</v>
      </c>
      <c r="O10" s="183">
        <f>SUM(B10:N10)+O6</f>
        <v>1400000</v>
      </c>
      <c r="P10" s="60">
        <v>10800000</v>
      </c>
      <c r="Q10" s="51"/>
    </row>
    <row r="11" spans="1:17">
      <c r="A11" s="50" t="s">
        <v>57</v>
      </c>
      <c r="B11" s="117">
        <v>200000</v>
      </c>
      <c r="C11" s="176">
        <v>300000</v>
      </c>
      <c r="D11" s="117">
        <v>200000</v>
      </c>
      <c r="E11" s="117">
        <v>200000</v>
      </c>
      <c r="F11" s="117">
        <v>200000</v>
      </c>
      <c r="G11" s="117">
        <v>200000</v>
      </c>
      <c r="H11" s="117">
        <v>200000</v>
      </c>
      <c r="I11" s="117">
        <v>200000</v>
      </c>
      <c r="J11" s="176">
        <v>300000</v>
      </c>
      <c r="K11" s="117">
        <v>200000</v>
      </c>
      <c r="L11" s="51"/>
      <c r="M11" s="51"/>
      <c r="N11" s="177">
        <v>200000</v>
      </c>
      <c r="O11" s="181">
        <f>SUM(B11:N11)+O7</f>
        <v>3000000</v>
      </c>
      <c r="P11" s="52"/>
      <c r="Q11" s="51"/>
    </row>
    <row r="12" spans="1:17" ht="19.8" thickBot="1">
      <c r="A12" s="47" t="s">
        <v>54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46"/>
      <c r="O12" s="182">
        <f>SUM(B12:N12)+O8</f>
        <v>3000000</v>
      </c>
      <c r="P12" s="52"/>
      <c r="Q12" s="51"/>
    </row>
    <row r="13" spans="1:17" ht="19.8" thickBot="1">
      <c r="A13" s="51"/>
      <c r="B13" s="41" t="s">
        <v>70</v>
      </c>
      <c r="C13" s="41" t="s">
        <v>69</v>
      </c>
      <c r="D13" s="41" t="s">
        <v>68</v>
      </c>
      <c r="E13" s="41" t="s">
        <v>67</v>
      </c>
      <c r="F13" s="41" t="s">
        <v>66</v>
      </c>
      <c r="G13" s="41" t="s">
        <v>65</v>
      </c>
      <c r="H13" s="41" t="s">
        <v>64</v>
      </c>
      <c r="I13" s="41" t="s">
        <v>63</v>
      </c>
      <c r="J13" s="41" t="s">
        <v>62</v>
      </c>
      <c r="K13" s="41" t="s">
        <v>61</v>
      </c>
      <c r="L13" s="41" t="s">
        <v>60</v>
      </c>
      <c r="M13" s="41" t="s">
        <v>59</v>
      </c>
      <c r="N13" s="41"/>
      <c r="O13" s="57"/>
      <c r="P13" s="51"/>
      <c r="Q13" s="51"/>
    </row>
    <row r="14" spans="1:17">
      <c r="A14" s="56" t="s">
        <v>58</v>
      </c>
      <c r="B14" s="178">
        <v>300000</v>
      </c>
      <c r="C14" s="179">
        <v>200000</v>
      </c>
      <c r="D14" s="179">
        <v>200000</v>
      </c>
      <c r="E14" s="179">
        <v>200000</v>
      </c>
      <c r="F14" s="179">
        <v>200000</v>
      </c>
      <c r="G14" s="179">
        <v>200000</v>
      </c>
      <c r="H14" s="179">
        <v>200000</v>
      </c>
      <c r="I14" s="179">
        <v>100000</v>
      </c>
      <c r="J14" s="55"/>
      <c r="K14" s="55"/>
      <c r="L14" s="55"/>
      <c r="M14" s="55"/>
      <c r="N14" s="54"/>
      <c r="O14" s="183">
        <f>O10+SUM(B14:N14)</f>
        <v>3000000</v>
      </c>
      <c r="P14" s="52"/>
      <c r="Q14" s="51"/>
    </row>
    <row r="15" spans="1:17">
      <c r="A15" s="50" t="s">
        <v>57</v>
      </c>
      <c r="B15" s="33"/>
      <c r="C15" s="33"/>
      <c r="D15" s="41"/>
      <c r="E15" s="33"/>
      <c r="F15" s="33"/>
      <c r="G15" s="33"/>
      <c r="H15" s="41"/>
      <c r="I15" s="33"/>
      <c r="J15" s="41"/>
      <c r="K15" s="41"/>
      <c r="L15" s="33"/>
      <c r="M15" s="41"/>
      <c r="N15" s="49"/>
      <c r="O15" s="181">
        <f>O11+SUM(B15:N15)</f>
        <v>3000000</v>
      </c>
      <c r="P15" s="44" t="s">
        <v>56</v>
      </c>
      <c r="Q15" s="33" t="s">
        <v>55</v>
      </c>
    </row>
    <row r="16" spans="1:17" ht="19.8" thickBot="1">
      <c r="A16" s="47" t="s">
        <v>54</v>
      </c>
      <c r="B16" s="41"/>
      <c r="C16" s="33"/>
      <c r="D16" s="33"/>
      <c r="E16" s="33"/>
      <c r="F16" s="33"/>
      <c r="G16" s="33"/>
      <c r="H16" s="41"/>
      <c r="I16" s="41"/>
      <c r="J16" s="33"/>
      <c r="K16" s="41"/>
      <c r="L16" s="41"/>
      <c r="M16" s="33"/>
      <c r="N16" s="46"/>
      <c r="O16" s="182">
        <f>O12+SUM(B16:N16)</f>
        <v>3000000</v>
      </c>
      <c r="P16" s="44">
        <v>3700000</v>
      </c>
      <c r="Q16" s="116">
        <v>9000000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A164-EF5D-834C-860C-B3C6563902BF}">
  <sheetPr codeName="Sheet10"/>
  <dimension ref="B2:G27"/>
  <sheetViews>
    <sheetView workbookViewId="0">
      <selection activeCell="B1" sqref="B1"/>
    </sheetView>
  </sheetViews>
  <sheetFormatPr defaultColWidth="10.81640625" defaultRowHeight="19.2"/>
  <cols>
    <col min="2" max="2" width="17.1796875" bestFit="1" customWidth="1"/>
    <col min="3" max="3" width="12.26953125" style="153" bestFit="1" customWidth="1"/>
  </cols>
  <sheetData>
    <row r="2" spans="2:7" ht="19.8" thickBot="1"/>
    <row r="3" spans="2:7" ht="19.8" thickBot="1">
      <c r="B3" s="270" t="s">
        <v>538</v>
      </c>
      <c r="C3" s="271"/>
    </row>
    <row r="4" spans="2:7" ht="19.8" thickBot="1"/>
    <row r="5" spans="2:7">
      <c r="B5" s="154" t="s">
        <v>532</v>
      </c>
      <c r="C5" s="155">
        <v>30000000</v>
      </c>
      <c r="D5" s="154" t="s">
        <v>593</v>
      </c>
      <c r="E5" s="165">
        <v>180000</v>
      </c>
    </row>
    <row r="6" spans="2:7">
      <c r="B6" s="23" t="s">
        <v>536</v>
      </c>
      <c r="C6" s="156">
        <v>-25500000</v>
      </c>
      <c r="D6" s="23" t="s">
        <v>592</v>
      </c>
      <c r="E6" s="157">
        <v>540000</v>
      </c>
    </row>
    <row r="7" spans="2:7">
      <c r="B7" s="23" t="s">
        <v>534</v>
      </c>
      <c r="C7" s="166">
        <v>20000000</v>
      </c>
      <c r="D7" s="23" t="s">
        <v>580</v>
      </c>
      <c r="E7" s="157">
        <f>19400+20900+19700</f>
        <v>60000</v>
      </c>
    </row>
    <row r="8" spans="2:7">
      <c r="B8" s="23" t="s">
        <v>535</v>
      </c>
      <c r="C8" s="166">
        <v>50000000</v>
      </c>
      <c r="D8" s="23" t="s">
        <v>184</v>
      </c>
      <c r="E8" s="157">
        <f>51820+14990+9890+37640+49570</f>
        <v>163910</v>
      </c>
    </row>
    <row r="9" spans="2:7" ht="19.8" thickBot="1">
      <c r="B9" s="167" t="s">
        <v>537</v>
      </c>
      <c r="C9" s="168">
        <v>-59500000</v>
      </c>
      <c r="D9" s="23" t="s">
        <v>581</v>
      </c>
      <c r="E9" s="157">
        <v>44900</v>
      </c>
    </row>
    <row r="10" spans="2:7">
      <c r="B10" s="154" t="s">
        <v>594</v>
      </c>
      <c r="C10" s="169">
        <v>2000000</v>
      </c>
      <c r="D10" s="52" t="s">
        <v>582</v>
      </c>
      <c r="E10" s="157">
        <v>12000</v>
      </c>
      <c r="F10" s="2"/>
      <c r="G10" s="164"/>
    </row>
    <row r="11" spans="2:7">
      <c r="B11" s="23" t="s">
        <v>595</v>
      </c>
      <c r="C11" s="170">
        <v>201666</v>
      </c>
      <c r="D11" s="52" t="s">
        <v>583</v>
      </c>
      <c r="E11" s="157">
        <v>387960</v>
      </c>
      <c r="F11" s="2"/>
      <c r="G11" s="164"/>
    </row>
    <row r="12" spans="2:7">
      <c r="B12" s="23" t="s">
        <v>596</v>
      </c>
      <c r="C12" s="170">
        <v>396620</v>
      </c>
      <c r="D12" s="52" t="s">
        <v>584</v>
      </c>
      <c r="E12" s="158">
        <f>34650+17000+41000+18000+5200+3000+12000</f>
        <v>130850</v>
      </c>
      <c r="F12" s="2"/>
      <c r="G12" s="164"/>
    </row>
    <row r="13" spans="2:7" ht="19.8" thickBot="1">
      <c r="B13" s="23" t="s">
        <v>226</v>
      </c>
      <c r="C13" s="171">
        <v>-278000</v>
      </c>
      <c r="D13" s="52" t="s">
        <v>585</v>
      </c>
      <c r="E13" s="158">
        <v>22400</v>
      </c>
      <c r="F13" s="2"/>
      <c r="G13" s="164"/>
    </row>
    <row r="14" spans="2:7" ht="19.8" thickBot="1">
      <c r="B14" s="20" t="s">
        <v>597</v>
      </c>
      <c r="C14" s="172">
        <v>-200000</v>
      </c>
      <c r="D14" s="52" t="s">
        <v>586</v>
      </c>
      <c r="E14" s="162">
        <v>244020</v>
      </c>
      <c r="F14" s="270" t="s">
        <v>591</v>
      </c>
      <c r="G14" s="271"/>
    </row>
    <row r="15" spans="2:7" ht="19.8" thickBot="1">
      <c r="B15" s="184" t="s">
        <v>600</v>
      </c>
      <c r="C15" s="186">
        <v>-34100</v>
      </c>
      <c r="D15" s="23" t="s">
        <v>587</v>
      </c>
      <c r="E15" s="162">
        <v>170100</v>
      </c>
      <c r="F15" s="175">
        <v>35000</v>
      </c>
      <c r="G15" s="174" t="s">
        <v>599</v>
      </c>
    </row>
    <row r="16" spans="2:7" ht="19.8" thickBot="1">
      <c r="B16" s="184" t="s">
        <v>601</v>
      </c>
      <c r="C16" s="185">
        <v>250000</v>
      </c>
      <c r="D16" s="23" t="s">
        <v>588</v>
      </c>
      <c r="E16" s="162">
        <v>208000</v>
      </c>
      <c r="F16" s="38">
        <v>25000</v>
      </c>
      <c r="G16" s="174" t="s">
        <v>599</v>
      </c>
    </row>
    <row r="17" spans="2:7" ht="19.8" thickBot="1">
      <c r="B17" s="184" t="s">
        <v>488</v>
      </c>
      <c r="C17" s="185">
        <v>500000</v>
      </c>
      <c r="D17" s="23" t="s">
        <v>589</v>
      </c>
      <c r="E17" s="158">
        <v>57700</v>
      </c>
      <c r="F17" s="147"/>
      <c r="G17" s="164"/>
    </row>
    <row r="18" spans="2:7" ht="19.8" thickBot="1">
      <c r="B18" s="173" t="s">
        <v>28</v>
      </c>
      <c r="C18" s="191">
        <f>SUM(C5:C17)</f>
        <v>17836186</v>
      </c>
      <c r="D18" s="23" t="s">
        <v>590</v>
      </c>
      <c r="E18" s="158">
        <v>280000</v>
      </c>
      <c r="F18" s="2"/>
      <c r="G18" s="164"/>
    </row>
    <row r="19" spans="2:7">
      <c r="D19" s="167" t="s">
        <v>641</v>
      </c>
      <c r="E19" s="189">
        <v>279000</v>
      </c>
      <c r="F19" s="2"/>
      <c r="G19" s="164"/>
    </row>
    <row r="20" spans="2:7">
      <c r="D20" s="167" t="s">
        <v>642</v>
      </c>
      <c r="E20" s="189">
        <v>85500</v>
      </c>
      <c r="F20" s="2"/>
      <c r="G20" s="164"/>
    </row>
    <row r="21" spans="2:7">
      <c r="D21" s="167" t="s">
        <v>654</v>
      </c>
      <c r="E21" s="189">
        <v>360050</v>
      </c>
      <c r="F21" s="2"/>
      <c r="G21" s="164"/>
    </row>
    <row r="22" spans="2:7">
      <c r="D22" s="167" t="s">
        <v>643</v>
      </c>
      <c r="E22" s="189">
        <v>27220</v>
      </c>
      <c r="F22" s="2"/>
      <c r="G22" s="164"/>
    </row>
    <row r="23" spans="2:7">
      <c r="D23" s="184" t="s">
        <v>692</v>
      </c>
      <c r="E23" s="192">
        <v>54800</v>
      </c>
    </row>
    <row r="24" spans="2:7">
      <c r="D24" s="184" t="s">
        <v>693</v>
      </c>
      <c r="E24" s="192">
        <v>24700</v>
      </c>
    </row>
    <row r="25" spans="2:7">
      <c r="D25" s="184" t="s">
        <v>694</v>
      </c>
      <c r="E25" s="192">
        <v>67000</v>
      </c>
    </row>
    <row r="26" spans="2:7">
      <c r="D26" s="184" t="s">
        <v>695</v>
      </c>
      <c r="E26" s="192">
        <v>91410</v>
      </c>
    </row>
    <row r="27" spans="2:7" ht="19.8" thickBot="1">
      <c r="D27" s="20" t="s">
        <v>533</v>
      </c>
      <c r="E27" s="190">
        <f>SUM(E5:E26)+SUM(F15:F16)</f>
        <v>3551520</v>
      </c>
    </row>
  </sheetData>
  <mergeCells count="2">
    <mergeCell ref="B3:C3"/>
    <mergeCell ref="F14:G1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82C1-4232-404D-90EE-606949ACACDB}">
  <sheetPr codeName="Sheet4"/>
  <dimension ref="A1:U62"/>
  <sheetViews>
    <sheetView topLeftCell="A6" zoomScaleNormal="100" workbookViewId="0">
      <selection activeCell="T22" sqref="T22"/>
    </sheetView>
  </sheetViews>
  <sheetFormatPr defaultColWidth="11.1796875" defaultRowHeight="19.2"/>
  <cols>
    <col min="1" max="1" width="13.81640625" bestFit="1" customWidth="1"/>
    <col min="2" max="2" width="10.7265625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242</v>
      </c>
      <c r="D2" s="41" t="s">
        <v>241</v>
      </c>
      <c r="E2" s="41" t="s">
        <v>240</v>
      </c>
      <c r="F2" s="41" t="s">
        <v>239</v>
      </c>
      <c r="G2" s="41" t="s">
        <v>238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41"/>
      <c r="C3" s="41"/>
      <c r="D3" s="41"/>
      <c r="E3" s="102" t="s">
        <v>236</v>
      </c>
      <c r="F3" s="41" t="s">
        <v>235</v>
      </c>
      <c r="G3" s="103" t="s">
        <v>234</v>
      </c>
      <c r="H3" s="102" t="s">
        <v>233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/>
      <c r="D4" s="22"/>
      <c r="E4" s="22">
        <v>0</v>
      </c>
      <c r="F4" s="22">
        <v>72000</v>
      </c>
      <c r="G4" s="22">
        <v>54000</v>
      </c>
      <c r="H4" s="22">
        <v>0</v>
      </c>
      <c r="I4" s="108">
        <f>SUM(B4:H4)</f>
        <v>126000</v>
      </c>
      <c r="K4" s="51" t="s">
        <v>228</v>
      </c>
      <c r="L4" s="51"/>
      <c r="M4" s="51" t="s">
        <v>189</v>
      </c>
      <c r="N4" s="51"/>
      <c r="O4" s="51" t="s">
        <v>227</v>
      </c>
      <c r="P4" s="101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/>
      <c r="C5" s="22"/>
      <c r="D5" s="22"/>
      <c r="E5" s="22">
        <v>0</v>
      </c>
      <c r="F5" s="110">
        <v>70890</v>
      </c>
      <c r="G5" s="22">
        <v>53390</v>
      </c>
      <c r="H5" s="22">
        <v>0</v>
      </c>
      <c r="I5" s="108">
        <f>SUM(B5:H5)</f>
        <v>124280</v>
      </c>
      <c r="K5" s="51" t="s">
        <v>226</v>
      </c>
      <c r="L5" s="109" t="s">
        <v>266</v>
      </c>
      <c r="M5" s="51" t="s">
        <v>160</v>
      </c>
      <c r="N5" s="51" t="s">
        <v>188</v>
      </c>
      <c r="O5" s="51" t="s">
        <v>225</v>
      </c>
      <c r="P5" s="101">
        <v>150390</v>
      </c>
      <c r="Q5" s="22">
        <v>5000</v>
      </c>
      <c r="R5" s="61">
        <f t="shared" si="0"/>
        <v>145390</v>
      </c>
      <c r="S5" s="61">
        <f t="shared" si="1"/>
        <v>146000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266</v>
      </c>
      <c r="M6" s="51" t="s">
        <v>160</v>
      </c>
      <c r="N6" s="51" t="s">
        <v>188</v>
      </c>
      <c r="O6" s="51" t="s">
        <v>223</v>
      </c>
      <c r="P6" s="101">
        <v>12810</v>
      </c>
      <c r="Q6" s="22"/>
      <c r="R6" s="61">
        <f t="shared" si="0"/>
        <v>12810</v>
      </c>
      <c r="S6" s="61">
        <f t="shared" si="1"/>
        <v>13000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126000</v>
      </c>
      <c r="H7" s="94">
        <f>SUM(B5:H5)</f>
        <v>124280</v>
      </c>
      <c r="I7" s="93">
        <f>I4-I5</f>
        <v>1720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01">
        <v>143056</v>
      </c>
      <c r="Q7" s="22">
        <v>5000</v>
      </c>
      <c r="R7" s="61">
        <f t="shared" si="0"/>
        <v>138056</v>
      </c>
      <c r="S7" s="61">
        <f t="shared" si="1"/>
        <v>139000</v>
      </c>
      <c r="T7" s="51"/>
    </row>
    <row r="8" spans="1:20">
      <c r="A8" s="51"/>
      <c r="B8" s="75" t="s">
        <v>219</v>
      </c>
      <c r="C8" s="75" t="s">
        <v>218</v>
      </c>
      <c r="D8" s="75" t="s">
        <v>217</v>
      </c>
      <c r="E8" s="75" t="s">
        <v>216</v>
      </c>
      <c r="F8" s="75" t="s">
        <v>215</v>
      </c>
      <c r="G8" s="103" t="s">
        <v>214</v>
      </c>
      <c r="H8" s="102" t="s">
        <v>213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12">
        <v>53620</v>
      </c>
      <c r="Q8" s="22">
        <v>5000</v>
      </c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22000</v>
      </c>
      <c r="C9" s="22">
        <v>19000</v>
      </c>
      <c r="D9" s="22">
        <v>63000</v>
      </c>
      <c r="E9" s="22">
        <v>2000</v>
      </c>
      <c r="F9" s="22">
        <v>71000</v>
      </c>
      <c r="G9" s="22">
        <v>7000</v>
      </c>
      <c r="H9" s="22">
        <v>86000</v>
      </c>
      <c r="I9" s="108">
        <f>SUM(B9:H9)</f>
        <v>270000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01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21700</v>
      </c>
      <c r="C10" s="22">
        <v>18900</v>
      </c>
      <c r="D10" s="22">
        <v>62000</v>
      </c>
      <c r="E10" s="22">
        <v>1700</v>
      </c>
      <c r="F10" s="22">
        <v>69550</v>
      </c>
      <c r="G10" s="22">
        <v>6600</v>
      </c>
      <c r="H10" s="22">
        <v>84240</v>
      </c>
      <c r="I10" s="108">
        <f>SUM(B10:H10)</f>
        <v>264690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01">
        <v>16500</v>
      </c>
      <c r="Q10" s="22"/>
      <c r="R10" s="61">
        <f t="shared" si="0"/>
        <v>16500</v>
      </c>
      <c r="S10" s="61">
        <f t="shared" si="1"/>
        <v>17000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302</v>
      </c>
      <c r="M11" s="51" t="s">
        <v>202</v>
      </c>
      <c r="N11" s="51" t="s">
        <v>188</v>
      </c>
      <c r="O11" s="51" t="s">
        <v>201</v>
      </c>
      <c r="P11" s="101">
        <v>56770</v>
      </c>
      <c r="Q11" s="22"/>
      <c r="R11" s="61">
        <f t="shared" si="0"/>
        <v>56770</v>
      </c>
      <c r="S11" s="61">
        <f t="shared" si="1"/>
        <v>57000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396000</v>
      </c>
      <c r="H12" s="94">
        <f>SUM(H7,B10:H10)</f>
        <v>388970</v>
      </c>
      <c r="I12" s="93">
        <f>I9-I10</f>
        <v>5310</v>
      </c>
      <c r="K12" s="51"/>
      <c r="L12" s="51" t="s">
        <v>303</v>
      </c>
      <c r="M12" s="51" t="s">
        <v>200</v>
      </c>
      <c r="N12" s="51" t="s">
        <v>188</v>
      </c>
      <c r="O12" s="51" t="s">
        <v>199</v>
      </c>
      <c r="P12" s="110">
        <v>0</v>
      </c>
      <c r="Q12" s="22"/>
      <c r="R12" s="61">
        <f t="shared" si="0"/>
        <v>0</v>
      </c>
      <c r="S12" s="61">
        <f t="shared" si="1"/>
        <v>0</v>
      </c>
      <c r="T12" s="51"/>
    </row>
    <row r="13" spans="1:20">
      <c r="B13" s="75" t="s">
        <v>198</v>
      </c>
      <c r="C13" s="75" t="s">
        <v>197</v>
      </c>
      <c r="D13" s="75" t="s">
        <v>196</v>
      </c>
      <c r="E13" s="75" t="s">
        <v>195</v>
      </c>
      <c r="F13" s="75" t="s">
        <v>194</v>
      </c>
      <c r="G13" s="103" t="s">
        <v>193</v>
      </c>
      <c r="H13" s="102" t="s">
        <v>192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01">
        <v>16386</v>
      </c>
      <c r="Q13" s="22"/>
      <c r="R13" s="61">
        <f t="shared" si="0"/>
        <v>16386</v>
      </c>
      <c r="S13" s="61">
        <f t="shared" si="1"/>
        <v>17000</v>
      </c>
      <c r="T13" s="51"/>
    </row>
    <row r="14" spans="1:20">
      <c r="A14" s="51" t="s">
        <v>149</v>
      </c>
      <c r="B14" s="22">
        <v>34000</v>
      </c>
      <c r="C14" s="22">
        <v>51000</v>
      </c>
      <c r="D14" s="22">
        <v>45000</v>
      </c>
      <c r="E14" s="22">
        <v>77000</v>
      </c>
      <c r="F14" s="22">
        <v>19000</v>
      </c>
      <c r="G14" s="22">
        <v>62000</v>
      </c>
      <c r="H14" s="22">
        <v>32000</v>
      </c>
      <c r="I14" s="107">
        <f>SUM(B14:H14)</f>
        <v>320000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01">
        <v>15375</v>
      </c>
      <c r="Q14" s="22"/>
      <c r="R14" s="61">
        <f t="shared" si="0"/>
        <v>15375</v>
      </c>
      <c r="S14" s="61">
        <f t="shared" si="1"/>
        <v>16000</v>
      </c>
      <c r="T14" s="51"/>
    </row>
    <row r="15" spans="1:20">
      <c r="A15" s="51" t="s">
        <v>96</v>
      </c>
      <c r="B15" s="22">
        <v>33390</v>
      </c>
      <c r="C15" s="22">
        <v>50400</v>
      </c>
      <c r="D15" s="22">
        <v>42650</v>
      </c>
      <c r="E15" s="22">
        <v>75450</v>
      </c>
      <c r="F15" s="22">
        <v>18750</v>
      </c>
      <c r="G15" s="22">
        <v>61620</v>
      </c>
      <c r="H15" s="22">
        <v>31220</v>
      </c>
      <c r="I15" s="107">
        <f>SUM(B15:H15)</f>
        <v>313480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12">
        <v>16544</v>
      </c>
      <c r="Q15" s="22"/>
      <c r="R15" s="61">
        <f t="shared" si="0"/>
        <v>16544</v>
      </c>
      <c r="S15" s="61">
        <f t="shared" si="1"/>
        <v>17000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01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0">
      <c r="A17" s="51"/>
      <c r="B17" s="51"/>
      <c r="C17" s="51"/>
      <c r="D17" s="51"/>
      <c r="E17" s="51"/>
      <c r="F17" s="51"/>
      <c r="G17" s="94">
        <f>G12+SUM(B14:H14)</f>
        <v>716000</v>
      </c>
      <c r="H17" s="94">
        <f>SUM(H12,B15:H15)</f>
        <v>702450</v>
      </c>
      <c r="I17" s="93">
        <f>I14-I15</f>
        <v>6520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01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0">
      <c r="B18" s="75" t="s">
        <v>179</v>
      </c>
      <c r="C18" s="75" t="s">
        <v>178</v>
      </c>
      <c r="D18" s="75" t="s">
        <v>177</v>
      </c>
      <c r="E18" s="106" t="s">
        <v>176</v>
      </c>
      <c r="F18" s="75" t="s">
        <v>175</v>
      </c>
      <c r="G18" s="103" t="s">
        <v>174</v>
      </c>
      <c r="H18" s="102" t="s">
        <v>173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01">
        <v>15130</v>
      </c>
      <c r="Q18" s="22"/>
      <c r="R18" s="61">
        <f t="shared" si="0"/>
        <v>15130</v>
      </c>
      <c r="S18" s="61">
        <f t="shared" si="1"/>
        <v>16000</v>
      </c>
      <c r="T18" s="51"/>
    </row>
    <row r="19" spans="1:20">
      <c r="A19" s="51" t="s">
        <v>149</v>
      </c>
      <c r="B19" s="22">
        <v>11000</v>
      </c>
      <c r="C19" s="22">
        <v>32000</v>
      </c>
      <c r="D19" s="22">
        <v>7000</v>
      </c>
      <c r="E19" s="22">
        <v>22000</v>
      </c>
      <c r="F19" s="22">
        <v>77000</v>
      </c>
      <c r="G19" s="22">
        <v>65000</v>
      </c>
      <c r="H19" s="22">
        <v>3000</v>
      </c>
      <c r="I19" s="105">
        <f>SUM(B19:H19)</f>
        <v>217000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12">
        <v>7840</v>
      </c>
      <c r="Q19" s="22"/>
      <c r="R19" s="61">
        <f t="shared" si="0"/>
        <v>7840</v>
      </c>
      <c r="S19" s="61">
        <f t="shared" si="1"/>
        <v>8000</v>
      </c>
      <c r="T19" s="51"/>
    </row>
    <row r="20" spans="1:20">
      <c r="A20" s="51" t="s">
        <v>96</v>
      </c>
      <c r="B20" s="22">
        <v>11000</v>
      </c>
      <c r="C20" s="22">
        <v>32000</v>
      </c>
      <c r="D20" s="22">
        <v>7000</v>
      </c>
      <c r="E20" s="22">
        <v>21500</v>
      </c>
      <c r="F20" s="22">
        <v>76490</v>
      </c>
      <c r="G20" s="22">
        <v>63690</v>
      </c>
      <c r="H20" s="22">
        <v>3000</v>
      </c>
      <c r="I20" s="105">
        <f>SUM(B20:H20)</f>
        <v>214680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01">
        <v>4624</v>
      </c>
      <c r="Q20" s="22">
        <v>2312</v>
      </c>
      <c r="R20" s="61">
        <f t="shared" si="0"/>
        <v>2312</v>
      </c>
      <c r="S20" s="61">
        <f t="shared" si="1"/>
        <v>3000</v>
      </c>
      <c r="T20" s="51"/>
    </row>
    <row r="21" spans="1:20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01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0">
      <c r="A22" s="51"/>
      <c r="B22" s="51"/>
      <c r="C22" s="51"/>
      <c r="D22" s="51"/>
      <c r="E22" s="51"/>
      <c r="F22" s="51"/>
      <c r="G22" s="94">
        <f>G17+SUM(B19:H19)</f>
        <v>933000</v>
      </c>
      <c r="H22" s="94">
        <f>SUM(H17,B20:H20)</f>
        <v>917130</v>
      </c>
      <c r="I22" s="93">
        <f>I19-I20</f>
        <v>2320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0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353</v>
      </c>
    </row>
    <row r="23" spans="1:20">
      <c r="B23" s="75" t="s">
        <v>158</v>
      </c>
      <c r="C23" s="75" t="s">
        <v>157</v>
      </c>
      <c r="D23" s="75" t="s">
        <v>156</v>
      </c>
      <c r="E23" s="75" t="s">
        <v>155</v>
      </c>
      <c r="F23" s="75" t="s">
        <v>154</v>
      </c>
      <c r="G23" s="103" t="s">
        <v>153</v>
      </c>
      <c r="H23" s="102"/>
      <c r="I23" s="98" t="s">
        <v>28</v>
      </c>
      <c r="K23" s="51"/>
      <c r="L23" s="51" t="s">
        <v>152</v>
      </c>
      <c r="M23" s="51" t="s">
        <v>151</v>
      </c>
      <c r="N23" s="51" t="s">
        <v>150</v>
      </c>
      <c r="O23" s="51"/>
      <c r="P23" s="101">
        <v>18200</v>
      </c>
      <c r="Q23" s="22"/>
      <c r="R23" s="61">
        <f t="shared" si="0"/>
        <v>18200</v>
      </c>
      <c r="S23" s="61">
        <f t="shared" si="1"/>
        <v>19000</v>
      </c>
      <c r="T23" s="41" t="s">
        <v>245</v>
      </c>
    </row>
    <row r="24" spans="1:20">
      <c r="A24" s="51" t="s">
        <v>149</v>
      </c>
      <c r="B24" s="22">
        <v>19000</v>
      </c>
      <c r="C24" s="22">
        <v>12000</v>
      </c>
      <c r="D24" s="22">
        <v>20000</v>
      </c>
      <c r="E24" s="22">
        <v>58000</v>
      </c>
      <c r="F24" s="22">
        <v>40000</v>
      </c>
      <c r="G24" s="22">
        <v>75000</v>
      </c>
      <c r="H24" s="22"/>
      <c r="I24" s="100">
        <f>SUM(B24:H24)</f>
        <v>224000</v>
      </c>
      <c r="K24" s="51" t="s">
        <v>28</v>
      </c>
      <c r="L24" s="51"/>
      <c r="M24" s="51"/>
      <c r="N24" s="51"/>
      <c r="O24" s="51"/>
      <c r="P24" s="61">
        <f>SUM(P4:P23)</f>
        <v>1195125</v>
      </c>
      <c r="Q24" s="22"/>
      <c r="R24" s="61">
        <f>SUM(R4:R23)</f>
        <v>1168813</v>
      </c>
      <c r="S24" s="61">
        <f t="shared" si="1"/>
        <v>1169000</v>
      </c>
      <c r="T24" s="51"/>
    </row>
    <row r="25" spans="1:20">
      <c r="A25" s="51" t="s">
        <v>96</v>
      </c>
      <c r="B25" s="22">
        <v>17700</v>
      </c>
      <c r="C25" s="22">
        <v>12000</v>
      </c>
      <c r="D25" s="22">
        <v>20000</v>
      </c>
      <c r="E25" s="22">
        <v>57340</v>
      </c>
      <c r="F25" s="22">
        <v>38710</v>
      </c>
      <c r="G25" s="22">
        <v>75000</v>
      </c>
      <c r="H25" s="22"/>
      <c r="I25" s="100">
        <f>SUM(B25:H25)</f>
        <v>220750</v>
      </c>
    </row>
    <row r="26" spans="1:20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46026</v>
      </c>
      <c r="M26" s="95" t="s">
        <v>244</v>
      </c>
    </row>
    <row r="27" spans="1:20">
      <c r="A27" s="51"/>
      <c r="B27" s="51"/>
      <c r="C27" s="51"/>
      <c r="D27" s="51"/>
      <c r="E27" s="51"/>
      <c r="F27" s="51"/>
      <c r="G27" s="94">
        <f>G22+SUM(B24:H24)</f>
        <v>1157000</v>
      </c>
      <c r="H27" s="94">
        <f>SUM(H22,B25:H25)</f>
        <v>1137880</v>
      </c>
      <c r="I27" s="93">
        <f>I24-I25</f>
        <v>3250</v>
      </c>
    </row>
    <row r="28" spans="1:20">
      <c r="K28" s="66" t="s">
        <v>126</v>
      </c>
      <c r="O28" s="66" t="s">
        <v>144</v>
      </c>
    </row>
    <row r="29" spans="1:20">
      <c r="A29" s="41" t="s">
        <v>143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</row>
    <row r="30" spans="1:20">
      <c r="A30" s="22">
        <v>160000</v>
      </c>
      <c r="C30" s="51" t="s">
        <v>97</v>
      </c>
      <c r="D30" s="91">
        <f>SUM(B4:H4)/A30</f>
        <v>0.78749999999999998</v>
      </c>
      <c r="E30" s="91">
        <f>SUM(B9:H9)/A31</f>
        <v>1.6875</v>
      </c>
      <c r="F30" s="91">
        <f>SUM(B14:H14)/A32</f>
        <v>2</v>
      </c>
      <c r="G30" s="91">
        <f>SUM(B19:H19)/A33</f>
        <v>1.35625</v>
      </c>
      <c r="H30" s="91">
        <f>SUM(B24:H24)/A34</f>
        <v>1.6</v>
      </c>
      <c r="I30" s="61">
        <f>SUM(I7,I12,I17,I22,I27)</f>
        <v>19120</v>
      </c>
      <c r="K30" s="51" t="s">
        <v>135</v>
      </c>
      <c r="L30" s="51" t="s">
        <v>130</v>
      </c>
      <c r="M30" s="22">
        <v>150000</v>
      </c>
      <c r="O30" s="51" t="s">
        <v>115</v>
      </c>
      <c r="P30" s="22">
        <v>150000</v>
      </c>
      <c r="Q30" s="61">
        <f>ROUNDUP(P30,-3)</f>
        <v>150000</v>
      </c>
    </row>
    <row r="31" spans="1:20">
      <c r="A31" s="22">
        <v>160000</v>
      </c>
      <c r="C31" s="51" t="s">
        <v>96</v>
      </c>
      <c r="D31" s="91">
        <f>SUM(B5:H5)/A30</f>
        <v>0.77675000000000005</v>
      </c>
      <c r="E31" s="91">
        <f>SUM(B10:H10)/A31</f>
        <v>1.6543125000000001</v>
      </c>
      <c r="F31" s="91">
        <f>SUM(B15:H15)/A32</f>
        <v>1.9592499999999999</v>
      </c>
      <c r="G31" s="91">
        <f>SUM(B20:H20)/A33</f>
        <v>1.34175</v>
      </c>
      <c r="H31" s="91">
        <f>SUM(B25:H25)/A34</f>
        <v>1.5767857142857142</v>
      </c>
      <c r="I31" s="41" t="s">
        <v>134</v>
      </c>
      <c r="K31" s="51" t="s">
        <v>133</v>
      </c>
      <c r="L31" s="51" t="s">
        <v>130</v>
      </c>
      <c r="M31" s="22">
        <v>20000</v>
      </c>
    </row>
    <row r="32" spans="1:20">
      <c r="A32" s="22">
        <v>160000</v>
      </c>
      <c r="C32" s="51" t="s">
        <v>132</v>
      </c>
      <c r="D32" s="90">
        <f>A30-SUM(B5:H5)</f>
        <v>35720</v>
      </c>
      <c r="E32" s="90">
        <f>A31-SUM(B15:H15)</f>
        <v>-153480</v>
      </c>
      <c r="F32" s="90">
        <f>A32-SUM(B20:H20)</f>
        <v>-54680</v>
      </c>
      <c r="G32" s="90">
        <f>A33-SUM(B25:H25)</f>
        <v>-60750</v>
      </c>
      <c r="H32" s="90">
        <f>A34-SUM(B25:H25)</f>
        <v>-80750</v>
      </c>
      <c r="I32" s="61">
        <f>G27-H27</f>
        <v>19120</v>
      </c>
      <c r="K32" s="51" t="s">
        <v>131</v>
      </c>
      <c r="L32" s="51" t="s">
        <v>130</v>
      </c>
      <c r="M32" s="22">
        <v>20000</v>
      </c>
      <c r="O32" s="66" t="s">
        <v>125</v>
      </c>
    </row>
    <row r="33" spans="1:21">
      <c r="A33" s="22">
        <v>160000</v>
      </c>
      <c r="C33" s="51" t="s">
        <v>129</v>
      </c>
      <c r="D33" s="89">
        <f>D32</f>
        <v>35720</v>
      </c>
      <c r="E33" s="89">
        <f>D33+E32</f>
        <v>-117760</v>
      </c>
      <c r="F33" s="89">
        <f>E33+F32</f>
        <v>-172440</v>
      </c>
      <c r="G33" s="89">
        <f>F33+G32</f>
        <v>-233190</v>
      </c>
      <c r="H33" s="89">
        <f>G33+H32</f>
        <v>-313940</v>
      </c>
      <c r="I33" s="41" t="s">
        <v>110</v>
      </c>
      <c r="O33" s="51" t="s">
        <v>98</v>
      </c>
      <c r="P33" s="51" t="s">
        <v>108</v>
      </c>
      <c r="Q33" s="41" t="s">
        <v>117</v>
      </c>
    </row>
    <row r="34" spans="1:21">
      <c r="A34" s="88">
        <v>140000</v>
      </c>
      <c r="B34" s="87"/>
      <c r="I34" s="86" t="b">
        <f>IF(I30=I32,TRUE,FALSE)</f>
        <v>1</v>
      </c>
      <c r="O34" s="51" t="s">
        <v>120</v>
      </c>
      <c r="P34" s="22">
        <v>200000</v>
      </c>
      <c r="Q34" s="61">
        <f>ROUNDUP(P34,-3)</f>
        <v>200000</v>
      </c>
    </row>
    <row r="35" spans="1:21">
      <c r="A35" s="85">
        <f>SUM(A30:A34)</f>
        <v>780000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123</v>
      </c>
      <c r="I35" s="41" t="s">
        <v>16</v>
      </c>
      <c r="J35" s="41" t="s">
        <v>122</v>
      </c>
      <c r="K35" s="41" t="s">
        <v>28</v>
      </c>
      <c r="L35" s="22" t="s">
        <v>121</v>
      </c>
      <c r="M35" s="22">
        <v>1200000</v>
      </c>
    </row>
    <row r="36" spans="1:21">
      <c r="B36" s="79" t="s">
        <v>97</v>
      </c>
      <c r="C36" s="61">
        <f>SUM(I4,I9,I14,I19,I24)</f>
        <v>1157000</v>
      </c>
      <c r="D36" s="61">
        <f>S24</f>
        <v>1169000</v>
      </c>
      <c r="E36" s="61">
        <f>SUM(M30:M32)</f>
        <v>190000</v>
      </c>
      <c r="F36" s="61">
        <f>Q34</f>
        <v>200000</v>
      </c>
      <c r="G36" s="61">
        <f>Q30</f>
        <v>150000</v>
      </c>
      <c r="H36" s="61">
        <f>Q40</f>
        <v>94000</v>
      </c>
      <c r="I36" s="61">
        <f>O53</f>
        <v>0</v>
      </c>
      <c r="J36" s="22">
        <f>SUM(J46:Q46)</f>
        <v>177000</v>
      </c>
      <c r="K36" s="61">
        <f>SUM(C36:I36)-J36</f>
        <v>2783000</v>
      </c>
      <c r="L36" s="33" t="s">
        <v>120</v>
      </c>
      <c r="M36" s="22">
        <v>200000</v>
      </c>
      <c r="N36" s="2"/>
      <c r="O36" s="66" t="s">
        <v>119</v>
      </c>
      <c r="P36" s="2"/>
      <c r="Q36" s="2"/>
      <c r="R36" s="2"/>
      <c r="S36" s="5"/>
      <c r="T36" s="2"/>
      <c r="U36" s="2"/>
    </row>
    <row r="37" spans="1:21">
      <c r="B37" s="79" t="s">
        <v>96</v>
      </c>
      <c r="C37" s="61">
        <f>H27</f>
        <v>1137880</v>
      </c>
      <c r="D37" s="61">
        <f>R24</f>
        <v>1168813</v>
      </c>
      <c r="E37" s="61">
        <f>SUM(M30:M32)</f>
        <v>190000</v>
      </c>
      <c r="F37" s="22">
        <f>P34</f>
        <v>200000</v>
      </c>
      <c r="G37" s="22">
        <f>P30</f>
        <v>150000</v>
      </c>
      <c r="H37" s="22">
        <f>P40</f>
        <v>94000</v>
      </c>
      <c r="I37" s="22">
        <f>O54</f>
        <v>0</v>
      </c>
      <c r="J37" s="22">
        <f>SUM(J47:Q47)</f>
        <v>181088</v>
      </c>
      <c r="K37" s="61">
        <f>SUM(C37:I37)-J37</f>
        <v>2759605</v>
      </c>
      <c r="L37" s="33" t="s">
        <v>118</v>
      </c>
      <c r="M37" s="22">
        <v>800000</v>
      </c>
      <c r="N37" s="84"/>
      <c r="O37" s="51" t="s">
        <v>98</v>
      </c>
      <c r="P37" s="51" t="s">
        <v>108</v>
      </c>
      <c r="Q37" s="41" t="s">
        <v>117</v>
      </c>
      <c r="R37" s="82"/>
      <c r="S37" s="82"/>
      <c r="T37" s="82"/>
      <c r="U37" s="82"/>
    </row>
    <row r="38" spans="1:21">
      <c r="C38" s="51" t="s">
        <v>116</v>
      </c>
      <c r="D38" s="22">
        <v>1200000</v>
      </c>
      <c r="L38" s="33" t="s">
        <v>115</v>
      </c>
      <c r="M38" s="22">
        <v>200000</v>
      </c>
      <c r="N38" s="84"/>
      <c r="O38" s="51" t="s">
        <v>257</v>
      </c>
      <c r="P38" s="22">
        <v>60000</v>
      </c>
      <c r="Q38" s="61">
        <f>ROUNDUP(P38,-3)</f>
        <v>60000</v>
      </c>
      <c r="R38" s="82"/>
      <c r="S38" s="82"/>
      <c r="T38" s="82"/>
      <c r="U38" s="82"/>
    </row>
    <row r="39" spans="1:21">
      <c r="L39" s="2"/>
      <c r="M39" s="82"/>
      <c r="N39" s="84"/>
      <c r="O39" s="83" t="s">
        <v>261</v>
      </c>
      <c r="P39" s="22">
        <v>34000</v>
      </c>
      <c r="Q39" s="61">
        <f>ROUNDUP(P39,-3)</f>
        <v>34000</v>
      </c>
      <c r="R39" s="82"/>
      <c r="S39" s="82"/>
      <c r="T39" s="82"/>
      <c r="U39" s="82"/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O40" s="81" t="s">
        <v>28</v>
      </c>
      <c r="P40" s="81">
        <f>SUM(P38:P39)</f>
        <v>94000</v>
      </c>
      <c r="Q40" s="81">
        <f>SUM(Q38:Q39)</f>
        <v>94000</v>
      </c>
    </row>
    <row r="41" spans="1:21">
      <c r="B41" s="79" t="s">
        <v>97</v>
      </c>
      <c r="C41" s="71">
        <f>C42</f>
        <v>2785740</v>
      </c>
      <c r="D41" s="61">
        <f>K36</f>
        <v>2783000</v>
      </c>
      <c r="E41" s="78">
        <f>C41-D41</f>
        <v>2740</v>
      </c>
      <c r="F41" s="77" t="str">
        <f>IF(E41&gt;0,"SUCCESS","FAIL")</f>
        <v>SUCCESS</v>
      </c>
      <c r="H41" s="61">
        <f>C36-C37</f>
        <v>19120</v>
      </c>
      <c r="I41" s="61">
        <f>SUM(I7,I12,I17,I22,I27)</f>
        <v>19120</v>
      </c>
      <c r="J41" s="80" t="b">
        <f>IF(H41=I41,TRUE,FALSE)</f>
        <v>1</v>
      </c>
    </row>
    <row r="42" spans="1:21">
      <c r="B42" s="79" t="s">
        <v>96</v>
      </c>
      <c r="C42" s="71">
        <f>SUM(C47:C49)</f>
        <v>2785740</v>
      </c>
      <c r="D42" s="61">
        <f>K37</f>
        <v>2759605</v>
      </c>
      <c r="E42" s="78">
        <f>C42-D42</f>
        <v>26135</v>
      </c>
      <c r="F42" s="77" t="str">
        <f>IF(E42&gt;0,"SUCCESS","FAIL")</f>
        <v>SUCCESS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</row>
    <row r="44" spans="1:21">
      <c r="I44" s="41" t="s">
        <v>99</v>
      </c>
      <c r="J44" s="75">
        <v>46031</v>
      </c>
      <c r="K44" s="41" t="s">
        <v>246</v>
      </c>
      <c r="L44" s="41" t="s">
        <v>248</v>
      </c>
      <c r="M44" s="41" t="s">
        <v>251</v>
      </c>
      <c r="N44" s="41" t="s">
        <v>254</v>
      </c>
      <c r="O44" s="41" t="s">
        <v>259</v>
      </c>
      <c r="P44" s="41" t="s">
        <v>264</v>
      </c>
      <c r="Q44" s="41" t="s">
        <v>270</v>
      </c>
    </row>
    <row r="45" spans="1:21" ht="19.8" thickBot="1">
      <c r="B45" t="s">
        <v>109</v>
      </c>
      <c r="I45" s="41" t="s">
        <v>98</v>
      </c>
      <c r="J45" s="41" t="s">
        <v>250</v>
      </c>
      <c r="K45" s="41" t="s">
        <v>247</v>
      </c>
      <c r="L45" s="41" t="s">
        <v>249</v>
      </c>
      <c r="M45" s="41" t="s">
        <v>249</v>
      </c>
      <c r="N45" s="41" t="s">
        <v>255</v>
      </c>
      <c r="O45" s="41" t="s">
        <v>260</v>
      </c>
      <c r="P45" s="41" t="s">
        <v>265</v>
      </c>
      <c r="Q45" s="41" t="s">
        <v>247</v>
      </c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f>ROUNDDOWN(J47,-3)</f>
        <v>8000</v>
      </c>
      <c r="K46" s="33">
        <f t="shared" ref="K46:Q46" si="2">ROUNDDOWN(K47,-3)</f>
        <v>27000</v>
      </c>
      <c r="L46" s="33">
        <f t="shared" si="2"/>
        <v>14000</v>
      </c>
      <c r="M46" s="33">
        <f t="shared" si="2"/>
        <v>22000</v>
      </c>
      <c r="N46" s="33">
        <f t="shared" si="2"/>
        <v>11000</v>
      </c>
      <c r="O46" s="33">
        <f t="shared" si="2"/>
        <v>45000</v>
      </c>
      <c r="P46" s="33">
        <f t="shared" si="2"/>
        <v>46000</v>
      </c>
      <c r="Q46" s="33">
        <f t="shared" si="2"/>
        <v>4000</v>
      </c>
    </row>
    <row r="47" spans="1:21" ht="19.8" thickBot="1">
      <c r="B47" s="51" t="s">
        <v>104</v>
      </c>
      <c r="C47" s="71">
        <v>2785740</v>
      </c>
      <c r="E47" s="70">
        <f>C36</f>
        <v>1157000</v>
      </c>
      <c r="F47" s="69">
        <f>'[1]1월'!$W$12</f>
        <v>1157000</v>
      </c>
      <c r="G47" s="68" t="b">
        <f>IF(G27='[1]1월'!$W$12,TRUE,FALSE)</f>
        <v>1</v>
      </c>
      <c r="I47" s="41" t="s">
        <v>96</v>
      </c>
      <c r="J47" s="33">
        <v>8200</v>
      </c>
      <c r="K47" s="67">
        <v>27200</v>
      </c>
      <c r="L47" s="33">
        <v>14600</v>
      </c>
      <c r="M47" s="33">
        <v>22500</v>
      </c>
      <c r="N47" s="33">
        <v>11500</v>
      </c>
      <c r="O47" s="33">
        <v>45600</v>
      </c>
      <c r="P47" s="33">
        <v>46588</v>
      </c>
      <c r="Q47" s="33">
        <v>4900</v>
      </c>
    </row>
    <row r="48" spans="1:21">
      <c r="B48" s="51" t="s">
        <v>100</v>
      </c>
      <c r="C48" s="22">
        <f>SUM(F61:I61)</f>
        <v>0</v>
      </c>
    </row>
    <row r="49" spans="2:15">
      <c r="B49" s="51" t="s">
        <v>103</v>
      </c>
      <c r="C49" s="22"/>
    </row>
    <row r="52" spans="2:15">
      <c r="B52" s="66" t="s">
        <v>16</v>
      </c>
      <c r="C52" s="2"/>
      <c r="D52" s="2"/>
      <c r="E52" s="2"/>
      <c r="F52" s="2"/>
      <c r="N52" s="66" t="s">
        <v>102</v>
      </c>
      <c r="O52" s="2"/>
    </row>
    <row r="53" spans="2:15">
      <c r="B53" s="41" t="s">
        <v>99</v>
      </c>
      <c r="C53" s="41"/>
      <c r="D53" s="41"/>
      <c r="E53" s="41"/>
      <c r="F53" s="41"/>
      <c r="G53" s="41"/>
      <c r="H53" s="41"/>
      <c r="I53" s="41"/>
      <c r="J53" s="41"/>
      <c r="K53" s="41"/>
      <c r="N53" s="41" t="s">
        <v>97</v>
      </c>
      <c r="O53" s="33">
        <f>SUM(C55:K55)-SUM(C61)</f>
        <v>0</v>
      </c>
    </row>
    <row r="54" spans="2:15">
      <c r="B54" s="41" t="s">
        <v>98</v>
      </c>
      <c r="C54" s="41"/>
      <c r="D54" s="41"/>
      <c r="E54" s="41"/>
      <c r="F54" s="41"/>
      <c r="G54" s="41"/>
      <c r="H54" s="41"/>
      <c r="I54" s="41"/>
      <c r="J54" s="41"/>
      <c r="K54" s="41"/>
      <c r="N54" s="41" t="s">
        <v>96</v>
      </c>
      <c r="O54" s="33">
        <f>SUM(C56:K56)-SUM(C62:F62)</f>
        <v>0</v>
      </c>
    </row>
    <row r="55" spans="2:15">
      <c r="B55" s="41" t="s">
        <v>97</v>
      </c>
      <c r="C55" s="33"/>
      <c r="D55" s="33"/>
      <c r="E55" s="33"/>
      <c r="F55" s="33"/>
      <c r="G55" s="33"/>
      <c r="H55" s="33"/>
      <c r="I55" s="33"/>
      <c r="J55" s="33"/>
      <c r="K55" s="33"/>
    </row>
    <row r="56" spans="2:15">
      <c r="B56" s="41" t="s">
        <v>96</v>
      </c>
      <c r="C56" s="33"/>
      <c r="D56" s="33"/>
      <c r="E56" s="33"/>
      <c r="F56" s="33"/>
      <c r="G56" s="33"/>
      <c r="H56" s="33"/>
      <c r="I56" s="33"/>
      <c r="J56" s="33"/>
      <c r="K56" s="33"/>
    </row>
    <row r="58" spans="2:15">
      <c r="B58" s="66" t="s">
        <v>101</v>
      </c>
      <c r="C58" s="2"/>
      <c r="D58" s="2"/>
      <c r="E58" s="66" t="s">
        <v>100</v>
      </c>
      <c r="F58" s="2"/>
    </row>
    <row r="59" spans="2:15">
      <c r="B59" s="41" t="s">
        <v>99</v>
      </c>
      <c r="C59" s="41"/>
      <c r="D59" s="65"/>
      <c r="E59" s="41" t="s">
        <v>99</v>
      </c>
      <c r="F59" s="41"/>
      <c r="G59" s="41"/>
      <c r="H59" s="41"/>
      <c r="I59" s="41"/>
    </row>
    <row r="60" spans="2:15">
      <c r="B60" s="41" t="s">
        <v>98</v>
      </c>
      <c r="C60" s="41"/>
      <c r="D60" s="65"/>
      <c r="E60" s="41" t="s">
        <v>98</v>
      </c>
      <c r="F60" s="41"/>
      <c r="G60" s="41"/>
      <c r="H60" s="41"/>
      <c r="I60" s="41"/>
    </row>
    <row r="61" spans="2:15">
      <c r="B61" s="41" t="s">
        <v>97</v>
      </c>
      <c r="C61" s="33"/>
      <c r="D61" s="65"/>
      <c r="E61" s="41" t="s">
        <v>97</v>
      </c>
      <c r="F61" s="33"/>
      <c r="G61" s="33"/>
      <c r="H61" s="33"/>
      <c r="I61" s="33"/>
    </row>
    <row r="62" spans="2:15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17" priority="1" operator="equal">
      <formula>"FAIL"</formula>
    </cfRule>
    <cfRule type="cellIs" dxfId="16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7595-11F0-474F-A47B-11F5B30F3B4A}">
  <sheetPr codeName="Sheet5"/>
  <dimension ref="A1:U62"/>
  <sheetViews>
    <sheetView zoomScale="85" zoomScaleNormal="85" workbookViewId="0">
      <selection activeCell="C53" sqref="C53:K56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242</v>
      </c>
      <c r="D2" s="41" t="s">
        <v>241</v>
      </c>
      <c r="E2" s="41" t="s">
        <v>240</v>
      </c>
      <c r="F2" s="41" t="s">
        <v>239</v>
      </c>
      <c r="G2" s="41" t="s">
        <v>238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41"/>
      <c r="C3" s="41"/>
      <c r="D3" s="41"/>
      <c r="E3" s="102"/>
      <c r="F3" s="41"/>
      <c r="G3" s="103"/>
      <c r="H3" s="102" t="s">
        <v>269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/>
      <c r="D4" s="22"/>
      <c r="E4" s="22"/>
      <c r="F4" s="22"/>
      <c r="G4" s="22"/>
      <c r="H4" s="22">
        <v>0</v>
      </c>
      <c r="I4" s="108">
        <f>SUM(B4:H4)</f>
        <v>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/>
      <c r="C5" s="22"/>
      <c r="D5" s="22"/>
      <c r="E5" s="22"/>
      <c r="F5" s="110"/>
      <c r="G5" s="22"/>
      <c r="H5" s="22">
        <v>0</v>
      </c>
      <c r="I5" s="108">
        <f>SUM(B5:H5)</f>
        <v>0</v>
      </c>
      <c r="K5" s="51" t="s">
        <v>226</v>
      </c>
      <c r="L5" s="109" t="s">
        <v>299</v>
      </c>
      <c r="M5" s="51" t="s">
        <v>160</v>
      </c>
      <c r="N5" s="51" t="s">
        <v>188</v>
      </c>
      <c r="O5" s="51" t="s">
        <v>225</v>
      </c>
      <c r="P5" s="126">
        <v>159320</v>
      </c>
      <c r="Q5" s="22">
        <v>5000</v>
      </c>
      <c r="R5" s="61">
        <f t="shared" si="0"/>
        <v>154320</v>
      </c>
      <c r="S5" s="61">
        <f t="shared" si="1"/>
        <v>155000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299</v>
      </c>
      <c r="M6" s="51" t="s">
        <v>160</v>
      </c>
      <c r="N6" s="51" t="s">
        <v>188</v>
      </c>
      <c r="O6" s="51" t="s">
        <v>223</v>
      </c>
      <c r="P6" s="126">
        <v>26320</v>
      </c>
      <c r="Q6" s="22">
        <v>2632</v>
      </c>
      <c r="R6" s="61">
        <f t="shared" si="0"/>
        <v>23688</v>
      </c>
      <c r="S6" s="61">
        <f t="shared" si="1"/>
        <v>24000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0</v>
      </c>
      <c r="H7" s="94">
        <f>SUM(B5:H5)</f>
        <v>0</v>
      </c>
      <c r="I7" s="93">
        <f>I4-I5</f>
        <v>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143056</v>
      </c>
      <c r="Q7" s="22">
        <v>5000</v>
      </c>
      <c r="R7" s="61">
        <f t="shared" si="0"/>
        <v>138056</v>
      </c>
      <c r="S7" s="61">
        <f t="shared" si="1"/>
        <v>139000</v>
      </c>
      <c r="T7" s="51"/>
    </row>
    <row r="8" spans="1:20">
      <c r="A8" s="51"/>
      <c r="B8" s="75" t="s">
        <v>270</v>
      </c>
      <c r="C8" s="75" t="s">
        <v>271</v>
      </c>
      <c r="D8" s="75" t="s">
        <v>272</v>
      </c>
      <c r="E8" s="75" t="s">
        <v>273</v>
      </c>
      <c r="F8" s="75" t="s">
        <v>274</v>
      </c>
      <c r="G8" s="103" t="s">
        <v>275</v>
      </c>
      <c r="H8" s="102" t="s">
        <v>276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53620</v>
      </c>
      <c r="Q8" s="22">
        <v>5000</v>
      </c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32000</v>
      </c>
      <c r="C9" s="22">
        <v>45000</v>
      </c>
      <c r="D9" s="22">
        <v>9000</v>
      </c>
      <c r="E9" s="22">
        <v>42000</v>
      </c>
      <c r="F9" s="22">
        <v>20000</v>
      </c>
      <c r="G9" s="22">
        <v>64000</v>
      </c>
      <c r="H9" s="22">
        <v>13000</v>
      </c>
      <c r="I9" s="108">
        <f>SUM(B9:H9)</f>
        <v>225000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31300</v>
      </c>
      <c r="C10" s="22">
        <v>44200</v>
      </c>
      <c r="D10" s="22">
        <v>9000</v>
      </c>
      <c r="E10" s="22">
        <v>40570</v>
      </c>
      <c r="F10" s="22">
        <v>19300</v>
      </c>
      <c r="G10" s="22">
        <v>62900</v>
      </c>
      <c r="H10" s="22">
        <v>11700</v>
      </c>
      <c r="I10" s="108">
        <f>SUM(B10:H10)</f>
        <v>218970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26">
        <v>16500</v>
      </c>
      <c r="Q10" s="22"/>
      <c r="R10" s="61">
        <f t="shared" si="0"/>
        <v>16500</v>
      </c>
      <c r="S10" s="61">
        <f t="shared" si="1"/>
        <v>17000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300</v>
      </c>
      <c r="M11" s="51" t="s">
        <v>202</v>
      </c>
      <c r="N11" s="51" t="s">
        <v>188</v>
      </c>
      <c r="O11" s="51" t="s">
        <v>201</v>
      </c>
      <c r="P11" s="126">
        <v>56770</v>
      </c>
      <c r="Q11" s="22"/>
      <c r="R11" s="61">
        <f t="shared" si="0"/>
        <v>56770</v>
      </c>
      <c r="S11" s="61">
        <f t="shared" si="1"/>
        <v>57000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225000</v>
      </c>
      <c r="H12" s="94">
        <f>SUM(H7,B10:H10)</f>
        <v>218970</v>
      </c>
      <c r="I12" s="93">
        <f>I9-I10</f>
        <v>6030</v>
      </c>
      <c r="K12" s="51"/>
      <c r="L12" s="51" t="s">
        <v>301</v>
      </c>
      <c r="M12" s="51" t="s">
        <v>200</v>
      </c>
      <c r="N12" s="51" t="s">
        <v>188</v>
      </c>
      <c r="O12" s="51" t="s">
        <v>199</v>
      </c>
      <c r="P12" s="127">
        <v>0</v>
      </c>
      <c r="Q12" s="22"/>
      <c r="R12" s="61">
        <f t="shared" si="0"/>
        <v>0</v>
      </c>
      <c r="S12" s="61">
        <f t="shared" si="1"/>
        <v>0</v>
      </c>
      <c r="T12" s="51"/>
    </row>
    <row r="13" spans="1:20">
      <c r="B13" s="75" t="s">
        <v>277</v>
      </c>
      <c r="C13" s="75" t="s">
        <v>278</v>
      </c>
      <c r="D13" s="75" t="s">
        <v>279</v>
      </c>
      <c r="E13" s="75" t="s">
        <v>280</v>
      </c>
      <c r="F13" s="75" t="s">
        <v>281</v>
      </c>
      <c r="G13" s="103" t="s">
        <v>282</v>
      </c>
      <c r="H13" s="102" t="s">
        <v>283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15462</v>
      </c>
      <c r="Q13" s="22"/>
      <c r="R13" s="61">
        <f t="shared" si="0"/>
        <v>15462</v>
      </c>
      <c r="S13" s="61">
        <f t="shared" si="1"/>
        <v>16000</v>
      </c>
      <c r="T13" s="51"/>
    </row>
    <row r="14" spans="1:20">
      <c r="A14" s="51" t="s">
        <v>149</v>
      </c>
      <c r="B14" s="22">
        <v>40000</v>
      </c>
      <c r="C14" s="22">
        <v>27000</v>
      </c>
      <c r="D14" s="22">
        <v>13000</v>
      </c>
      <c r="E14" s="22">
        <v>38000</v>
      </c>
      <c r="F14" s="22">
        <v>19000</v>
      </c>
      <c r="G14" s="22">
        <v>84000</v>
      </c>
      <c r="H14" s="22">
        <v>18000</v>
      </c>
      <c r="I14" s="107">
        <f>SUM(B14:H14)</f>
        <v>239000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15374</v>
      </c>
      <c r="Q14" s="22"/>
      <c r="R14" s="61">
        <f t="shared" si="0"/>
        <v>15374</v>
      </c>
      <c r="S14" s="61">
        <f t="shared" si="1"/>
        <v>16000</v>
      </c>
      <c r="T14" s="51"/>
    </row>
    <row r="15" spans="1:20">
      <c r="A15" s="51" t="s">
        <v>96</v>
      </c>
      <c r="B15" s="22">
        <v>38800</v>
      </c>
      <c r="C15" s="22">
        <v>26700</v>
      </c>
      <c r="D15" s="22">
        <v>13000</v>
      </c>
      <c r="E15" s="22">
        <v>37500</v>
      </c>
      <c r="F15" s="22">
        <v>17500</v>
      </c>
      <c r="G15" s="22">
        <v>83580</v>
      </c>
      <c r="H15" s="22">
        <v>17300</v>
      </c>
      <c r="I15" s="107">
        <f>SUM(B15:H15)</f>
        <v>234380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12450</v>
      </c>
      <c r="Q15" s="22"/>
      <c r="R15" s="61">
        <f t="shared" si="0"/>
        <v>12450</v>
      </c>
      <c r="S15" s="61">
        <f t="shared" si="1"/>
        <v>13000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0">
      <c r="A17" s="51"/>
      <c r="B17" s="51"/>
      <c r="C17" s="51"/>
      <c r="D17" s="51"/>
      <c r="E17" s="51"/>
      <c r="F17" s="51"/>
      <c r="G17" s="94">
        <f>G12+SUM(B14:H14)</f>
        <v>464000</v>
      </c>
      <c r="H17" s="94">
        <f>SUM(H12,B15:H15)</f>
        <v>453350</v>
      </c>
      <c r="I17" s="93">
        <f>I14-I15</f>
        <v>4620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0">
      <c r="B18" s="102" t="s">
        <v>284</v>
      </c>
      <c r="C18" s="128" t="s">
        <v>285</v>
      </c>
      <c r="D18" s="128" t="s">
        <v>286</v>
      </c>
      <c r="E18" s="75" t="s">
        <v>287</v>
      </c>
      <c r="F18" s="75" t="s">
        <v>288</v>
      </c>
      <c r="G18" s="103" t="s">
        <v>289</v>
      </c>
      <c r="H18" s="102" t="s">
        <v>290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5030</v>
      </c>
      <c r="Q18" s="22"/>
      <c r="R18" s="61">
        <f t="shared" si="0"/>
        <v>5030</v>
      </c>
      <c r="S18" s="61">
        <f t="shared" si="1"/>
        <v>6000</v>
      </c>
      <c r="T18" s="51"/>
    </row>
    <row r="19" spans="1:20">
      <c r="A19" s="51" t="s">
        <v>149</v>
      </c>
      <c r="B19" s="22">
        <v>49000</v>
      </c>
      <c r="C19" s="22">
        <v>27000</v>
      </c>
      <c r="D19" s="22">
        <v>0</v>
      </c>
      <c r="E19" s="22">
        <v>24000</v>
      </c>
      <c r="F19" s="22">
        <v>40000</v>
      </c>
      <c r="G19" s="22">
        <v>131000</v>
      </c>
      <c r="H19" s="22">
        <v>5000</v>
      </c>
      <c r="I19" s="105">
        <f>SUM(B19:H19)</f>
        <v>276000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8900</v>
      </c>
      <c r="Q19" s="22">
        <v>928</v>
      </c>
      <c r="R19" s="61">
        <f t="shared" si="0"/>
        <v>7972</v>
      </c>
      <c r="S19" s="61">
        <f t="shared" si="1"/>
        <v>8000</v>
      </c>
      <c r="T19" s="51"/>
    </row>
    <row r="20" spans="1:20">
      <c r="A20" s="51" t="s">
        <v>96</v>
      </c>
      <c r="B20" s="22">
        <v>48300</v>
      </c>
      <c r="C20" s="22">
        <v>25630</v>
      </c>
      <c r="D20" s="22">
        <v>0</v>
      </c>
      <c r="E20" s="22">
        <v>22300</v>
      </c>
      <c r="F20" s="22">
        <v>38290</v>
      </c>
      <c r="G20" s="22">
        <v>128240</v>
      </c>
      <c r="H20" s="22">
        <v>4500</v>
      </c>
      <c r="I20" s="105">
        <f>SUM(B20:H20)</f>
        <v>267260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v>4055</v>
      </c>
      <c r="R20" s="61">
        <f t="shared" si="0"/>
        <v>845</v>
      </c>
      <c r="S20" s="61">
        <f t="shared" si="1"/>
        <v>1000</v>
      </c>
      <c r="T20" s="51"/>
    </row>
    <row r="21" spans="1:20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0">
      <c r="A22" s="51"/>
      <c r="B22" s="51"/>
      <c r="C22" s="51"/>
      <c r="D22" s="51"/>
      <c r="E22" s="51"/>
      <c r="F22" s="51"/>
      <c r="G22" s="94">
        <f>G17+SUM(B19:H19)</f>
        <v>740000</v>
      </c>
      <c r="H22" s="94">
        <f>SUM(H17,B20:H20)</f>
        <v>720610</v>
      </c>
      <c r="I22" s="93">
        <f>I19-I20</f>
        <v>8740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26">
        <v>74700</v>
      </c>
      <c r="Q22" s="22"/>
      <c r="R22" s="61">
        <f t="shared" si="0"/>
        <v>74700</v>
      </c>
      <c r="S22" s="61">
        <f t="shared" si="1"/>
        <v>75000</v>
      </c>
      <c r="T22" s="41" t="s">
        <v>436</v>
      </c>
    </row>
    <row r="23" spans="1:20">
      <c r="B23" s="75" t="s">
        <v>291</v>
      </c>
      <c r="C23" s="75" t="s">
        <v>292</v>
      </c>
      <c r="D23" s="75" t="s">
        <v>293</v>
      </c>
      <c r="E23" s="75" t="s">
        <v>294</v>
      </c>
      <c r="F23" s="75" t="s">
        <v>295</v>
      </c>
      <c r="G23" s="103" t="s">
        <v>296</v>
      </c>
      <c r="H23" s="102"/>
      <c r="I23" s="98" t="s">
        <v>28</v>
      </c>
      <c r="K23" s="51"/>
      <c r="L23" s="51" t="s">
        <v>152</v>
      </c>
      <c r="M23" s="51" t="s">
        <v>151</v>
      </c>
      <c r="N23" s="51" t="s">
        <v>150</v>
      </c>
      <c r="O23" s="51"/>
      <c r="P23" s="126">
        <v>18200</v>
      </c>
      <c r="Q23" s="22"/>
      <c r="R23" s="61">
        <f t="shared" si="0"/>
        <v>18200</v>
      </c>
      <c r="S23" s="61">
        <f t="shared" si="1"/>
        <v>19000</v>
      </c>
      <c r="T23" s="41" t="s">
        <v>297</v>
      </c>
    </row>
    <row r="24" spans="1:20">
      <c r="A24" s="51" t="s">
        <v>149</v>
      </c>
      <c r="B24" s="22">
        <v>19000</v>
      </c>
      <c r="C24" s="22">
        <v>45000</v>
      </c>
      <c r="D24" s="22">
        <v>14000</v>
      </c>
      <c r="E24" s="22">
        <v>21000</v>
      </c>
      <c r="F24" s="22">
        <v>33000</v>
      </c>
      <c r="G24" s="22">
        <v>103000</v>
      </c>
      <c r="H24" s="22"/>
      <c r="I24" s="100">
        <f>SUM(B24:H24)</f>
        <v>235000</v>
      </c>
      <c r="K24" s="51" t="s">
        <v>28</v>
      </c>
      <c r="L24" s="51"/>
      <c r="M24" s="51"/>
      <c r="N24" s="51"/>
      <c r="O24" s="51"/>
      <c r="P24" s="61">
        <f>SUM(P4:P23)</f>
        <v>1203782</v>
      </c>
      <c r="Q24" s="22"/>
      <c r="R24" s="61">
        <f>SUM(R4:R23)</f>
        <v>1172167</v>
      </c>
      <c r="S24" s="61">
        <f t="shared" si="1"/>
        <v>1173000</v>
      </c>
      <c r="T24" s="51"/>
    </row>
    <row r="25" spans="1:20">
      <c r="A25" s="51" t="s">
        <v>96</v>
      </c>
      <c r="B25" s="22">
        <v>18900</v>
      </c>
      <c r="C25" s="22">
        <v>44780</v>
      </c>
      <c r="D25" s="22">
        <v>13500</v>
      </c>
      <c r="E25" s="22">
        <v>19500</v>
      </c>
      <c r="F25" s="22">
        <v>31890</v>
      </c>
      <c r="G25" s="22">
        <v>101080</v>
      </c>
      <c r="H25" s="22"/>
      <c r="I25" s="100">
        <f>SUM(B25:H25)</f>
        <v>229650</v>
      </c>
    </row>
    <row r="26" spans="1:20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46079</v>
      </c>
      <c r="M26" s="95" t="s">
        <v>244</v>
      </c>
    </row>
    <row r="27" spans="1:20">
      <c r="A27" s="51"/>
      <c r="B27" s="51"/>
      <c r="C27" s="51"/>
      <c r="D27" s="51"/>
      <c r="E27" s="51"/>
      <c r="F27" s="51"/>
      <c r="G27" s="94">
        <f>G22+SUM(B24:H24)</f>
        <v>975000</v>
      </c>
      <c r="H27" s="94">
        <f>SUM(H22,B25:H25)</f>
        <v>950260</v>
      </c>
      <c r="I27" s="93">
        <f>I24-I25</f>
        <v>5350</v>
      </c>
    </row>
    <row r="28" spans="1:20">
      <c r="K28" s="66" t="s">
        <v>126</v>
      </c>
      <c r="O28" s="66" t="s">
        <v>144</v>
      </c>
    </row>
    <row r="29" spans="1:20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</row>
    <row r="30" spans="1:20">
      <c r="A30" s="22">
        <v>0</v>
      </c>
      <c r="C30" s="51" t="s">
        <v>97</v>
      </c>
      <c r="D30" s="91">
        <f>IFERROR(SUM(B4:H4)/A30,0)</f>
        <v>0</v>
      </c>
      <c r="E30" s="91">
        <f>(SUM(B9:H9)-J46)/A31</f>
        <v>1.177142857142857</v>
      </c>
      <c r="F30" s="91">
        <f>(SUM(B14:H14)-K46)/A32</f>
        <v>1.3542857142857143</v>
      </c>
      <c r="G30" s="91">
        <f>SUM(B19:H19)/A33</f>
        <v>1.5771428571428572</v>
      </c>
      <c r="H30" s="91">
        <f>IFERROR((SUM(B24:H24)-L46)/A34,0)</f>
        <v>1.3257142857142856</v>
      </c>
      <c r="I30" s="61">
        <f>SUM(I7,I12,I17,I22,I27)</f>
        <v>24740</v>
      </c>
      <c r="K30" s="51" t="s">
        <v>135</v>
      </c>
      <c r="L30" s="51" t="s">
        <v>130</v>
      </c>
      <c r="M30" s="22">
        <v>150000</v>
      </c>
      <c r="O30" s="51" t="s">
        <v>115</v>
      </c>
      <c r="P30" s="22">
        <v>300000</v>
      </c>
      <c r="Q30" s="61">
        <f>ROUNDUP(P30,-3)</f>
        <v>300000</v>
      </c>
    </row>
    <row r="31" spans="1:20">
      <c r="A31" s="22">
        <v>175000</v>
      </c>
      <c r="B31" s="2" t="s">
        <v>305</v>
      </c>
      <c r="C31" s="51" t="s">
        <v>96</v>
      </c>
      <c r="D31" s="91">
        <f>IFERROR(SUM(B5:H5)/A30,0)</f>
        <v>0</v>
      </c>
      <c r="E31" s="91">
        <f>(SUM(B10:H10)-J47)/A31</f>
        <v>1.1426857142857143</v>
      </c>
      <c r="F31" s="91">
        <f>(SUM(B15:H15)-K47)/A32</f>
        <v>1.3250285714285714</v>
      </c>
      <c r="G31" s="91">
        <f>SUM(B20:H20)/A33</f>
        <v>1.5271999999999999</v>
      </c>
      <c r="H31" s="91">
        <f>IFERROR((SUM(B25:H25)-L47)/A34,0)</f>
        <v>1.2934285714285714</v>
      </c>
      <c r="I31" s="41" t="s">
        <v>134</v>
      </c>
      <c r="K31" s="51" t="s">
        <v>133</v>
      </c>
      <c r="L31" s="51" t="s">
        <v>130</v>
      </c>
      <c r="M31" s="22">
        <v>20000</v>
      </c>
    </row>
    <row r="32" spans="1:20">
      <c r="A32" s="22">
        <v>175000</v>
      </c>
      <c r="B32" s="2" t="s">
        <v>306</v>
      </c>
      <c r="C32" s="51" t="s">
        <v>132</v>
      </c>
      <c r="D32" s="90">
        <f>A30-SUM(B5:H5)</f>
        <v>0</v>
      </c>
      <c r="E32" s="90">
        <f>A31-SUM(B10:H10)</f>
        <v>-43970</v>
      </c>
      <c r="F32" s="90">
        <f>A32-SUM(B15:H15)</f>
        <v>-59380</v>
      </c>
      <c r="G32" s="90">
        <f>A33-SUM(B20:H20)</f>
        <v>-92260</v>
      </c>
      <c r="H32" s="90">
        <f>A34-SUM(B25:H25)</f>
        <v>-54650</v>
      </c>
      <c r="I32" s="61">
        <f>G27-H27</f>
        <v>24740</v>
      </c>
      <c r="K32" s="51" t="s">
        <v>131</v>
      </c>
      <c r="L32" s="51" t="s">
        <v>130</v>
      </c>
      <c r="M32" s="22">
        <v>20000</v>
      </c>
      <c r="O32" s="66" t="s">
        <v>125</v>
      </c>
    </row>
    <row r="33" spans="1:21">
      <c r="A33" s="22">
        <v>175000</v>
      </c>
      <c r="B33" s="2" t="s">
        <v>307</v>
      </c>
      <c r="C33" s="51" t="s">
        <v>129</v>
      </c>
      <c r="D33" s="89">
        <f>D32</f>
        <v>0</v>
      </c>
      <c r="E33" s="89">
        <f>D33+E32</f>
        <v>-43970</v>
      </c>
      <c r="F33" s="89">
        <f>E33+F32</f>
        <v>-103350</v>
      </c>
      <c r="G33" s="89">
        <f>F33+G32</f>
        <v>-195610</v>
      </c>
      <c r="H33" s="89">
        <f>G33+H32</f>
        <v>-250260</v>
      </c>
      <c r="I33" s="41" t="s">
        <v>110</v>
      </c>
      <c r="O33" s="51" t="s">
        <v>98</v>
      </c>
      <c r="P33" s="51" t="s">
        <v>108</v>
      </c>
      <c r="Q33" s="41" t="s">
        <v>117</v>
      </c>
    </row>
    <row r="34" spans="1:21">
      <c r="A34" s="22">
        <v>175000</v>
      </c>
      <c r="B34" s="2" t="s">
        <v>308</v>
      </c>
      <c r="C34" s="129" t="s">
        <v>312</v>
      </c>
      <c r="I34" s="86" t="b">
        <f>IF(I30=I32,TRUE,FALSE)</f>
        <v>1</v>
      </c>
      <c r="O34" s="51" t="s">
        <v>120</v>
      </c>
      <c r="P34" s="22">
        <v>300000</v>
      </c>
      <c r="Q34" s="61">
        <f>ROUNDUP(P34,-3)</f>
        <v>300000</v>
      </c>
    </row>
    <row r="35" spans="1:21">
      <c r="A35" s="85">
        <f>SUM(A30:A34)</f>
        <v>700000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123</v>
      </c>
      <c r="I35" s="41" t="s">
        <v>16</v>
      </c>
      <c r="J35" s="41" t="s">
        <v>304</v>
      </c>
      <c r="K35" s="41" t="s">
        <v>28</v>
      </c>
      <c r="L35" s="22" t="s">
        <v>121</v>
      </c>
      <c r="M35" s="22">
        <v>1200000</v>
      </c>
    </row>
    <row r="36" spans="1:21">
      <c r="B36" s="79" t="s">
        <v>97</v>
      </c>
      <c r="C36" s="61">
        <f>SUM(I4,I9,I14,I19,I24)</f>
        <v>975000</v>
      </c>
      <c r="D36" s="61">
        <f>S24</f>
        <v>1173000</v>
      </c>
      <c r="E36" s="61">
        <f>SUM(M30:M32)</f>
        <v>190000</v>
      </c>
      <c r="F36" s="61">
        <f>Q34</f>
        <v>300000</v>
      </c>
      <c r="G36" s="61">
        <f>Q30</f>
        <v>300000</v>
      </c>
      <c r="H36" s="61">
        <f>Q40</f>
        <v>0</v>
      </c>
      <c r="I36" s="61">
        <f>O53</f>
        <v>0</v>
      </c>
      <c r="J36" s="22">
        <f>SUM(J46:P46)</f>
        <v>24000</v>
      </c>
      <c r="K36" s="61">
        <f>SUM(C36:I36)-J36</f>
        <v>2914000</v>
      </c>
      <c r="L36" s="33" t="s">
        <v>120</v>
      </c>
      <c r="M36" s="22">
        <v>200000</v>
      </c>
      <c r="N36" s="2"/>
      <c r="O36" s="66" t="s">
        <v>119</v>
      </c>
      <c r="P36" s="2"/>
      <c r="Q36" s="2"/>
      <c r="R36" s="2"/>
      <c r="S36" s="5"/>
      <c r="T36" s="2"/>
      <c r="U36" s="2"/>
    </row>
    <row r="37" spans="1:21">
      <c r="B37" s="79" t="s">
        <v>96</v>
      </c>
      <c r="C37" s="61">
        <f>H27</f>
        <v>950260</v>
      </c>
      <c r="D37" s="61">
        <f>R24</f>
        <v>1172167</v>
      </c>
      <c r="E37" s="61">
        <f>SUM(M30:M32)</f>
        <v>190000</v>
      </c>
      <c r="F37" s="22">
        <f>P34</f>
        <v>300000</v>
      </c>
      <c r="G37" s="22">
        <f>P30</f>
        <v>300000</v>
      </c>
      <c r="H37" s="22">
        <f>P40</f>
        <v>0</v>
      </c>
      <c r="I37" s="22">
        <f>O54</f>
        <v>0</v>
      </c>
      <c r="J37" s="22">
        <f>SUM(J47:P47)</f>
        <v>24800</v>
      </c>
      <c r="K37" s="61">
        <f>SUM(C37:I37)-J37</f>
        <v>2887627</v>
      </c>
      <c r="L37" s="33" t="s">
        <v>118</v>
      </c>
      <c r="M37" s="22">
        <v>800000</v>
      </c>
      <c r="N37" s="84"/>
      <c r="O37" s="51" t="s">
        <v>98</v>
      </c>
      <c r="P37" s="51" t="s">
        <v>108</v>
      </c>
      <c r="Q37" s="41" t="s">
        <v>117</v>
      </c>
      <c r="R37" s="82"/>
      <c r="S37" s="82"/>
      <c r="T37" s="82"/>
      <c r="U37" s="82"/>
    </row>
    <row r="38" spans="1:21">
      <c r="C38" s="51" t="s">
        <v>116</v>
      </c>
      <c r="D38" s="22">
        <v>1200000</v>
      </c>
      <c r="L38" s="33" t="s">
        <v>115</v>
      </c>
      <c r="M38" s="22">
        <v>200000</v>
      </c>
      <c r="N38" s="84"/>
      <c r="O38" s="51"/>
      <c r="P38" s="22"/>
      <c r="Q38" s="61">
        <f>ROUNDUP(P38,-3)</f>
        <v>0</v>
      </c>
      <c r="R38" s="82"/>
      <c r="S38" s="82"/>
      <c r="T38" s="82"/>
      <c r="U38" s="82"/>
    </row>
    <row r="39" spans="1:21">
      <c r="L39" s="2"/>
      <c r="M39" s="82"/>
      <c r="N39" s="84"/>
      <c r="O39" s="83"/>
      <c r="P39" s="22"/>
      <c r="Q39" s="61">
        <f>ROUNDUP(P39,-3)</f>
        <v>0</v>
      </c>
      <c r="R39" s="82"/>
      <c r="S39" s="82"/>
      <c r="T39" s="82"/>
      <c r="U39" s="82"/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O40" s="81" t="s">
        <v>28</v>
      </c>
      <c r="P40" s="81">
        <f>SUM(P38:P39)</f>
        <v>0</v>
      </c>
      <c r="Q40" s="81">
        <f>SUM(Q38:Q39)</f>
        <v>0</v>
      </c>
    </row>
    <row r="41" spans="1:21">
      <c r="B41" s="79" t="s">
        <v>97</v>
      </c>
      <c r="C41" s="22">
        <f>C42</f>
        <v>3709110</v>
      </c>
      <c r="D41" s="61">
        <f>K36</f>
        <v>2914000</v>
      </c>
      <c r="E41" s="78">
        <f>C41-D41</f>
        <v>795110</v>
      </c>
      <c r="F41" s="77" t="str">
        <f>IF(E41&gt;0,"SUCCESS","FAIL")</f>
        <v>SUCCESS</v>
      </c>
      <c r="H41" s="61">
        <f>C36-C37</f>
        <v>24740</v>
      </c>
      <c r="I41" s="61">
        <f>SUM(I7,I12,I17,I22,I27)</f>
        <v>24740</v>
      </c>
      <c r="J41" s="80" t="b">
        <f>IF(H41=I41,TRUE,FALSE)</f>
        <v>1</v>
      </c>
    </row>
    <row r="42" spans="1:21">
      <c r="B42" s="79" t="s">
        <v>96</v>
      </c>
      <c r="C42" s="22">
        <f>SUM(C47:C49)</f>
        <v>3709110</v>
      </c>
      <c r="D42" s="61">
        <f>K37</f>
        <v>2887627</v>
      </c>
      <c r="E42" s="78">
        <f>C42-D42</f>
        <v>821483</v>
      </c>
      <c r="F42" s="77" t="str">
        <f>IF(E42&gt;0,"SUCCESS","FAIL")</f>
        <v>SUCCESS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</row>
    <row r="44" spans="1:21">
      <c r="I44" s="41" t="s">
        <v>99</v>
      </c>
      <c r="J44" s="75" t="s">
        <v>310</v>
      </c>
      <c r="K44" s="41" t="s">
        <v>313</v>
      </c>
      <c r="L44" s="41" t="s">
        <v>363</v>
      </c>
      <c r="M44" s="41"/>
      <c r="N44" s="41"/>
      <c r="O44" s="41"/>
      <c r="P44" s="41"/>
    </row>
    <row r="45" spans="1:21" ht="19.8" thickBot="1">
      <c r="B45" t="s">
        <v>109</v>
      </c>
      <c r="E45" s="111" t="s">
        <v>311</v>
      </c>
      <c r="I45" s="41" t="s">
        <v>98</v>
      </c>
      <c r="J45" s="41" t="s">
        <v>249</v>
      </c>
      <c r="K45" s="41" t="s">
        <v>314</v>
      </c>
      <c r="L45" s="41" t="s">
        <v>364</v>
      </c>
      <c r="M45" s="41"/>
      <c r="N45" s="41"/>
      <c r="O45" s="41"/>
      <c r="P45" s="41"/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v>19000</v>
      </c>
      <c r="K46" s="33">
        <v>2000</v>
      </c>
      <c r="L46" s="33">
        <v>3000</v>
      </c>
      <c r="M46" s="33"/>
      <c r="N46" s="33"/>
      <c r="O46" s="33"/>
      <c r="P46" s="33"/>
    </row>
    <row r="47" spans="1:21" ht="19.8" thickBot="1">
      <c r="B47" s="51" t="s">
        <v>104</v>
      </c>
      <c r="C47" s="22">
        <v>3409110</v>
      </c>
      <c r="E47" s="70">
        <f>C36</f>
        <v>975000</v>
      </c>
      <c r="F47" s="69">
        <f>'[1]2월'!$W$12</f>
        <v>975000</v>
      </c>
      <c r="G47" s="68" t="b">
        <f>IF(G27='[1]2월'!$W$12,TRUE,FALSE)</f>
        <v>1</v>
      </c>
      <c r="I47" s="41" t="s">
        <v>96</v>
      </c>
      <c r="J47" s="33">
        <v>19000</v>
      </c>
      <c r="K47" s="33">
        <v>2500</v>
      </c>
      <c r="L47" s="33">
        <v>3300</v>
      </c>
      <c r="M47" s="33"/>
      <c r="N47" s="33"/>
      <c r="O47" s="33"/>
      <c r="P47" s="33"/>
    </row>
    <row r="48" spans="1:21">
      <c r="B48" s="51" t="s">
        <v>100</v>
      </c>
      <c r="C48" s="22">
        <f>SUM(F61:I61)</f>
        <v>0</v>
      </c>
    </row>
    <row r="49" spans="2:15">
      <c r="B49" s="51" t="s">
        <v>103</v>
      </c>
      <c r="C49" s="22">
        <v>300000</v>
      </c>
    </row>
    <row r="52" spans="2:15">
      <c r="B52" s="66" t="s">
        <v>16</v>
      </c>
      <c r="C52" s="2"/>
      <c r="D52" s="2"/>
      <c r="E52" s="2"/>
      <c r="F52" s="2"/>
      <c r="N52" s="66" t="s">
        <v>102</v>
      </c>
      <c r="O52" s="2"/>
    </row>
    <row r="53" spans="2:15">
      <c r="B53" s="41" t="s">
        <v>99</v>
      </c>
      <c r="C53" s="41"/>
      <c r="D53" s="41"/>
      <c r="E53" s="41"/>
      <c r="F53" s="41"/>
      <c r="G53" s="41"/>
      <c r="H53" s="41"/>
      <c r="I53" s="41"/>
      <c r="J53" s="41"/>
      <c r="K53" s="41"/>
      <c r="N53" s="41" t="s">
        <v>97</v>
      </c>
      <c r="O53" s="33">
        <f>SUM(C55:K55)-SUM(C61)</f>
        <v>0</v>
      </c>
    </row>
    <row r="54" spans="2:15">
      <c r="B54" s="41" t="s">
        <v>98</v>
      </c>
      <c r="C54" s="41"/>
      <c r="D54" s="41"/>
      <c r="E54" s="41"/>
      <c r="F54" s="41"/>
      <c r="G54" s="41"/>
      <c r="H54" s="41"/>
      <c r="I54" s="41"/>
      <c r="J54" s="41"/>
      <c r="K54" s="41"/>
      <c r="N54" s="41" t="s">
        <v>96</v>
      </c>
      <c r="O54" s="33">
        <f>SUM(C56:K56)-SUM(C62:F62)</f>
        <v>0</v>
      </c>
    </row>
    <row r="55" spans="2:15">
      <c r="B55" s="41" t="s">
        <v>97</v>
      </c>
      <c r="C55" s="33"/>
      <c r="D55" s="33"/>
      <c r="E55" s="33"/>
      <c r="F55" s="33"/>
      <c r="G55" s="33"/>
      <c r="H55" s="33"/>
      <c r="I55" s="33"/>
      <c r="J55" s="33"/>
      <c r="K55" s="33"/>
    </row>
    <row r="56" spans="2:15">
      <c r="B56" s="41" t="s">
        <v>96</v>
      </c>
      <c r="C56" s="33"/>
      <c r="D56" s="33"/>
      <c r="E56" s="33"/>
      <c r="F56" s="33"/>
      <c r="G56" s="33"/>
      <c r="H56" s="33"/>
      <c r="I56" s="33"/>
      <c r="J56" s="33"/>
      <c r="K56" s="33"/>
    </row>
    <row r="58" spans="2:15">
      <c r="B58" s="66" t="s">
        <v>101</v>
      </c>
      <c r="C58" s="2"/>
      <c r="D58" s="2"/>
      <c r="E58" s="66" t="s">
        <v>100</v>
      </c>
      <c r="F58" s="2"/>
    </row>
    <row r="59" spans="2:15">
      <c r="B59" s="41" t="s">
        <v>99</v>
      </c>
      <c r="C59" s="41"/>
      <c r="D59" s="65"/>
      <c r="E59" s="41" t="s">
        <v>99</v>
      </c>
      <c r="F59" s="41"/>
      <c r="G59" s="41"/>
      <c r="H59" s="41"/>
      <c r="I59" s="41"/>
    </row>
    <row r="60" spans="2:15">
      <c r="B60" s="41" t="s">
        <v>98</v>
      </c>
      <c r="C60" s="41"/>
      <c r="D60" s="65"/>
      <c r="E60" s="41" t="s">
        <v>98</v>
      </c>
      <c r="F60" s="41"/>
      <c r="G60" s="41"/>
      <c r="H60" s="41"/>
      <c r="I60" s="41"/>
    </row>
    <row r="61" spans="2:15">
      <c r="B61" s="41" t="s">
        <v>97</v>
      </c>
      <c r="C61" s="33"/>
      <c r="D61" s="65"/>
      <c r="E61" s="41" t="s">
        <v>97</v>
      </c>
      <c r="F61" s="33"/>
      <c r="G61" s="33"/>
      <c r="H61" s="33"/>
      <c r="I61" s="33"/>
    </row>
    <row r="62" spans="2:15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15" priority="1" operator="equal">
      <formula>"FAIL"</formula>
    </cfRule>
    <cfRule type="cellIs" dxfId="14" priority="2" operator="equal">
      <formula>"SUCCESS"</formula>
    </cfRule>
  </conditionalFormatting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B370-54A9-C140-9263-E528872FCABC}">
  <sheetPr codeName="Sheet6"/>
  <dimension ref="A1:U62"/>
  <sheetViews>
    <sheetView zoomScaleNormal="100" workbookViewId="0">
      <selection activeCell="H32" sqref="H32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237</v>
      </c>
      <c r="C2" s="41" t="s">
        <v>243</v>
      </c>
      <c r="D2" s="41" t="s">
        <v>344</v>
      </c>
      <c r="E2" s="41" t="s">
        <v>345</v>
      </c>
      <c r="F2" s="41" t="s">
        <v>346</v>
      </c>
      <c r="G2" s="41" t="s">
        <v>347</v>
      </c>
      <c r="H2" s="41" t="s">
        <v>348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102" t="s">
        <v>317</v>
      </c>
      <c r="C3" s="102" t="s">
        <v>318</v>
      </c>
      <c r="D3" s="75" t="s">
        <v>319</v>
      </c>
      <c r="E3" s="75" t="s">
        <v>320</v>
      </c>
      <c r="F3" s="75" t="s">
        <v>321</v>
      </c>
      <c r="G3" s="75" t="s">
        <v>322</v>
      </c>
      <c r="H3" s="103" t="s">
        <v>323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>
        <v>21000</v>
      </c>
      <c r="C4" s="22">
        <v>15000</v>
      </c>
      <c r="D4" s="22">
        <v>18000</v>
      </c>
      <c r="E4" s="22">
        <v>23000</v>
      </c>
      <c r="F4" s="22">
        <v>31000</v>
      </c>
      <c r="G4" s="22">
        <v>47000</v>
      </c>
      <c r="H4" s="22">
        <v>7000</v>
      </c>
      <c r="I4" s="108">
        <f>SUM(B4:H4)</f>
        <v>162000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>
        <v>19530</v>
      </c>
      <c r="C5" s="22">
        <v>14400</v>
      </c>
      <c r="D5" s="22">
        <v>18000</v>
      </c>
      <c r="E5" s="22">
        <v>22800</v>
      </c>
      <c r="F5" s="110">
        <v>30800</v>
      </c>
      <c r="G5" s="22">
        <v>46540</v>
      </c>
      <c r="H5" s="22">
        <v>6020</v>
      </c>
      <c r="I5" s="108">
        <f>SUM(B5:H5)</f>
        <v>158090</v>
      </c>
      <c r="K5" s="51" t="s">
        <v>226</v>
      </c>
      <c r="L5" s="109" t="s">
        <v>491</v>
      </c>
      <c r="M5" s="51" t="s">
        <v>160</v>
      </c>
      <c r="N5" s="51" t="s">
        <v>188</v>
      </c>
      <c r="O5" s="51" t="s">
        <v>225</v>
      </c>
      <c r="P5" s="126">
        <v>149360</v>
      </c>
      <c r="Q5" s="22">
        <v>5000</v>
      </c>
      <c r="R5" s="61">
        <f t="shared" si="0"/>
        <v>144360</v>
      </c>
      <c r="S5" s="61">
        <f t="shared" si="1"/>
        <v>145000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491</v>
      </c>
      <c r="M6" s="51" t="s">
        <v>160</v>
      </c>
      <c r="N6" s="51" t="s">
        <v>188</v>
      </c>
      <c r="O6" s="51" t="s">
        <v>223</v>
      </c>
      <c r="P6" s="126">
        <v>27430</v>
      </c>
      <c r="Q6" s="22">
        <v>2743</v>
      </c>
      <c r="R6" s="61">
        <f t="shared" si="0"/>
        <v>24687</v>
      </c>
      <c r="S6" s="61">
        <f t="shared" si="1"/>
        <v>25000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162000</v>
      </c>
      <c r="H7" s="94">
        <f>SUM(B5:H5)</f>
        <v>158090</v>
      </c>
      <c r="I7" s="93">
        <f>I4-I5</f>
        <v>3910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143056</v>
      </c>
      <c r="Q7" s="22">
        <v>5000</v>
      </c>
      <c r="R7" s="61">
        <f t="shared" si="0"/>
        <v>138056</v>
      </c>
      <c r="S7" s="61">
        <f t="shared" si="1"/>
        <v>139000</v>
      </c>
      <c r="T7" s="51"/>
    </row>
    <row r="8" spans="1:20">
      <c r="A8" s="51"/>
      <c r="B8" s="102" t="s">
        <v>324</v>
      </c>
      <c r="C8" s="75" t="s">
        <v>325</v>
      </c>
      <c r="D8" s="75" t="s">
        <v>326</v>
      </c>
      <c r="E8" s="75" t="s">
        <v>327</v>
      </c>
      <c r="F8" s="75" t="s">
        <v>328</v>
      </c>
      <c r="G8" s="75" t="s">
        <v>329</v>
      </c>
      <c r="H8" s="103" t="s">
        <v>330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53620</v>
      </c>
      <c r="Q8" s="22">
        <v>5000</v>
      </c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10000</v>
      </c>
      <c r="C9" s="22">
        <f>17000+8000</f>
        <v>25000</v>
      </c>
      <c r="D9" s="22">
        <v>12000</v>
      </c>
      <c r="E9" s="22">
        <v>11000</v>
      </c>
      <c r="F9" s="22">
        <v>9000</v>
      </c>
      <c r="G9" s="22">
        <v>41000</v>
      </c>
      <c r="H9" s="22">
        <v>45000</v>
      </c>
      <c r="I9" s="108">
        <f>SUM(B9:H9)</f>
        <v>153000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9040</v>
      </c>
      <c r="C10" s="22">
        <f>17000+7890</f>
        <v>24890</v>
      </c>
      <c r="D10" s="22">
        <v>11900</v>
      </c>
      <c r="E10" s="22">
        <f>5600+4080</f>
        <v>9680</v>
      </c>
      <c r="F10" s="22">
        <v>8500</v>
      </c>
      <c r="G10" s="22">
        <f>4300+15120+11000+3800+5000</f>
        <v>39220</v>
      </c>
      <c r="H10" s="22">
        <v>43100</v>
      </c>
      <c r="I10" s="108">
        <f>SUM(B10:H10)</f>
        <v>146330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26">
        <v>16500</v>
      </c>
      <c r="Q10" s="22"/>
      <c r="R10" s="61">
        <f t="shared" si="0"/>
        <v>16500</v>
      </c>
      <c r="S10" s="61">
        <f t="shared" si="1"/>
        <v>17000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354</v>
      </c>
      <c r="M11" s="51" t="s">
        <v>202</v>
      </c>
      <c r="N11" s="51" t="s">
        <v>188</v>
      </c>
      <c r="O11" s="51" t="s">
        <v>201</v>
      </c>
      <c r="P11" s="126">
        <v>51460</v>
      </c>
      <c r="Q11" s="22"/>
      <c r="R11" s="61">
        <f t="shared" si="0"/>
        <v>51460</v>
      </c>
      <c r="S11" s="61">
        <f t="shared" si="1"/>
        <v>52000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315000</v>
      </c>
      <c r="H12" s="94">
        <f>SUM(H7,B10:H10)</f>
        <v>304420</v>
      </c>
      <c r="I12" s="93">
        <f>I9-I10</f>
        <v>6670</v>
      </c>
      <c r="K12" s="51"/>
      <c r="L12" s="51" t="s">
        <v>355</v>
      </c>
      <c r="M12" s="51" t="s">
        <v>200</v>
      </c>
      <c r="N12" s="51" t="s">
        <v>188</v>
      </c>
      <c r="O12" s="51" t="s">
        <v>199</v>
      </c>
      <c r="P12" s="127">
        <v>0</v>
      </c>
      <c r="Q12" s="22"/>
      <c r="R12" s="61">
        <f t="shared" si="0"/>
        <v>0</v>
      </c>
      <c r="S12" s="61">
        <f t="shared" si="1"/>
        <v>0</v>
      </c>
      <c r="T12" s="51"/>
    </row>
    <row r="13" spans="1:20">
      <c r="B13" s="102" t="s">
        <v>349</v>
      </c>
      <c r="C13" s="75" t="s">
        <v>331</v>
      </c>
      <c r="D13" s="75" t="s">
        <v>332</v>
      </c>
      <c r="E13" s="75" t="s">
        <v>333</v>
      </c>
      <c r="F13" s="75" t="s">
        <v>334</v>
      </c>
      <c r="G13" s="75" t="s">
        <v>335</v>
      </c>
      <c r="H13" s="103" t="s">
        <v>336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15992</v>
      </c>
      <c r="Q13" s="22"/>
      <c r="R13" s="61">
        <f t="shared" si="0"/>
        <v>15992</v>
      </c>
      <c r="S13" s="61">
        <f t="shared" si="1"/>
        <v>16000</v>
      </c>
      <c r="T13" s="51"/>
    </row>
    <row r="14" spans="1:20">
      <c r="A14" s="51" t="s">
        <v>149</v>
      </c>
      <c r="B14" s="22">
        <v>50000</v>
      </c>
      <c r="C14" s="22">
        <v>15000</v>
      </c>
      <c r="D14" s="22">
        <v>20000</v>
      </c>
      <c r="E14" s="22">
        <v>22000</v>
      </c>
      <c r="F14" s="22">
        <v>12000</v>
      </c>
      <c r="G14" s="22">
        <v>63000</v>
      </c>
      <c r="H14" s="22">
        <v>52000</v>
      </c>
      <c r="I14" s="107">
        <f>SUM(B14:H14)</f>
        <v>234000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13918</v>
      </c>
      <c r="Q14" s="22"/>
      <c r="R14" s="61">
        <f t="shared" si="0"/>
        <v>13918</v>
      </c>
      <c r="S14" s="61">
        <f t="shared" si="1"/>
        <v>14000</v>
      </c>
      <c r="T14" s="51"/>
    </row>
    <row r="15" spans="1:20">
      <c r="A15" s="51" t="s">
        <v>96</v>
      </c>
      <c r="B15" s="22">
        <v>47280</v>
      </c>
      <c r="C15" s="22">
        <v>14200</v>
      </c>
      <c r="D15" s="22">
        <v>19750</v>
      </c>
      <c r="E15" s="22">
        <v>21400</v>
      </c>
      <c r="F15" s="22">
        <v>10600</v>
      </c>
      <c r="G15" s="22">
        <v>61900</v>
      </c>
      <c r="H15" s="22">
        <v>49000</v>
      </c>
      <c r="I15" s="107">
        <f>SUM(B15:H15)</f>
        <v>224130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11180</v>
      </c>
      <c r="Q15" s="22"/>
      <c r="R15" s="61">
        <f t="shared" si="0"/>
        <v>11180</v>
      </c>
      <c r="S15" s="61">
        <f t="shared" si="1"/>
        <v>12000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549000</v>
      </c>
      <c r="H17" s="94">
        <f>SUM(H12,B15:H15)</f>
        <v>528550</v>
      </c>
      <c r="I17" s="93">
        <f>I14-I15</f>
        <v>9870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102" t="s">
        <v>350</v>
      </c>
      <c r="C18" s="75" t="s">
        <v>337</v>
      </c>
      <c r="D18" s="75" t="s">
        <v>338</v>
      </c>
      <c r="E18" s="75" t="s">
        <v>339</v>
      </c>
      <c r="F18" s="75" t="s">
        <v>340</v>
      </c>
      <c r="G18" s="75" t="s">
        <v>341</v>
      </c>
      <c r="H18" s="103" t="s">
        <v>342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5365</v>
      </c>
      <c r="Q18" s="22"/>
      <c r="R18" s="61">
        <f t="shared" si="0"/>
        <v>5365</v>
      </c>
      <c r="S18" s="61">
        <f t="shared" si="1"/>
        <v>6000</v>
      </c>
      <c r="T18" s="51"/>
    </row>
    <row r="19" spans="1:21">
      <c r="A19" s="51" t="s">
        <v>149</v>
      </c>
      <c r="B19" s="22">
        <v>5000</v>
      </c>
      <c r="C19" s="22">
        <v>43000</v>
      </c>
      <c r="D19" s="22">
        <v>26000</v>
      </c>
      <c r="E19" s="22">
        <v>18000</v>
      </c>
      <c r="F19" s="22">
        <v>36000</v>
      </c>
      <c r="G19" s="22">
        <v>36000</v>
      </c>
      <c r="H19" s="22">
        <v>35000</v>
      </c>
      <c r="I19" s="105">
        <f>SUM(B19:H19)</f>
        <v>199000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8900</v>
      </c>
      <c r="Q19" s="22">
        <v>828</v>
      </c>
      <c r="R19" s="61">
        <f t="shared" si="0"/>
        <v>8072</v>
      </c>
      <c r="S19" s="61">
        <f t="shared" si="1"/>
        <v>9000</v>
      </c>
      <c r="T19" s="51"/>
    </row>
    <row r="20" spans="1:21">
      <c r="A20" s="51" t="s">
        <v>96</v>
      </c>
      <c r="B20" s="22">
        <v>4800</v>
      </c>
      <c r="C20" s="22">
        <v>41700</v>
      </c>
      <c r="D20" s="22">
        <v>25300</v>
      </c>
      <c r="E20" s="22">
        <v>17800</v>
      </c>
      <c r="F20" s="22">
        <v>34000</v>
      </c>
      <c r="G20" s="22">
        <v>34300</v>
      </c>
      <c r="H20" s="22">
        <v>33530</v>
      </c>
      <c r="I20" s="105">
        <f>SUM(B20:H20)</f>
        <v>191430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v>1723</v>
      </c>
      <c r="R20" s="61">
        <f t="shared" si="0"/>
        <v>3177</v>
      </c>
      <c r="S20" s="61">
        <f t="shared" si="1"/>
        <v>4000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748000</v>
      </c>
      <c r="H22" s="94">
        <f>SUM(H17,B20:H20)</f>
        <v>719980</v>
      </c>
      <c r="I22" s="93">
        <f>I19-I20</f>
        <v>7570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435</v>
      </c>
    </row>
    <row r="23" spans="1:21">
      <c r="B23" s="102" t="s">
        <v>343</v>
      </c>
      <c r="C23" s="75" t="s">
        <v>352</v>
      </c>
      <c r="D23" s="75" t="s">
        <v>351</v>
      </c>
      <c r="E23" s="75"/>
      <c r="F23" s="75"/>
      <c r="G23" s="103"/>
      <c r="H23" s="102"/>
      <c r="I23" s="98" t="s">
        <v>28</v>
      </c>
      <c r="K23" s="51"/>
      <c r="L23" s="51" t="s">
        <v>152</v>
      </c>
      <c r="M23" s="51" t="s">
        <v>151</v>
      </c>
      <c r="N23" s="51" t="s">
        <v>150</v>
      </c>
      <c r="O23" s="51"/>
      <c r="P23" s="126">
        <v>18200</v>
      </c>
      <c r="Q23" s="22"/>
      <c r="R23" s="61">
        <f t="shared" si="0"/>
        <v>18200</v>
      </c>
      <c r="S23" s="61">
        <f t="shared" si="1"/>
        <v>19000</v>
      </c>
      <c r="T23" s="41" t="s">
        <v>353</v>
      </c>
    </row>
    <row r="24" spans="1:21">
      <c r="A24" s="51" t="s">
        <v>149</v>
      </c>
      <c r="B24" s="22">
        <v>103000</v>
      </c>
      <c r="C24" s="22">
        <v>24000</v>
      </c>
      <c r="D24" s="22">
        <v>51000</v>
      </c>
      <c r="E24" s="22"/>
      <c r="F24" s="22"/>
      <c r="G24" s="22"/>
      <c r="H24" s="22"/>
      <c r="I24" s="100">
        <f>SUM(B24:H24)</f>
        <v>178000</v>
      </c>
      <c r="K24" s="51" t="s">
        <v>28</v>
      </c>
      <c r="L24" s="51"/>
      <c r="M24" s="51"/>
      <c r="N24" s="51"/>
      <c r="O24" s="51"/>
      <c r="P24" s="61">
        <f>SUM(P4:P23)</f>
        <v>1187761</v>
      </c>
      <c r="Q24" s="22"/>
      <c r="R24" s="61">
        <f>SUM(R4:R23)</f>
        <v>1158467</v>
      </c>
      <c r="S24" s="61">
        <f t="shared" si="1"/>
        <v>1159000</v>
      </c>
      <c r="T24" s="51"/>
    </row>
    <row r="25" spans="1:21">
      <c r="A25" s="51" t="s">
        <v>96</v>
      </c>
      <c r="B25" s="22">
        <v>100600</v>
      </c>
      <c r="C25" s="22">
        <v>23400</v>
      </c>
      <c r="D25" s="22">
        <v>50500</v>
      </c>
      <c r="E25" s="22"/>
      <c r="F25" s="22"/>
      <c r="G25" s="22"/>
      <c r="H25" s="22"/>
      <c r="I25" s="100">
        <f>SUM(B25:H25)</f>
        <v>174500</v>
      </c>
      <c r="P25" t="s">
        <v>362</v>
      </c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/>
      <c r="M26" s="95" t="s">
        <v>298</v>
      </c>
      <c r="P26" t="s">
        <v>356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926000</v>
      </c>
      <c r="H27" s="94">
        <f>SUM(H22,B25:H25)</f>
        <v>894480</v>
      </c>
      <c r="I27" s="93">
        <f>I24-I25</f>
        <v>3500</v>
      </c>
      <c r="P27" t="s">
        <v>357</v>
      </c>
    </row>
    <row r="28" spans="1:21">
      <c r="K28" s="66" t="s">
        <v>126</v>
      </c>
      <c r="O28" s="66" t="s">
        <v>358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160000</v>
      </c>
      <c r="C30" s="51" t="s">
        <v>97</v>
      </c>
      <c r="D30" s="91">
        <f>IFERROR(SUM(B4:H4)/A30,0)</f>
        <v>1.0125</v>
      </c>
      <c r="E30" s="91">
        <f>IFERROR((SUM(B9:H9))/A31,0)</f>
        <v>0.95625000000000004</v>
      </c>
      <c r="F30" s="91">
        <f>IFERROR((SUM(B14:H14)-J46)/A32,0)</f>
        <v>1.35625</v>
      </c>
      <c r="G30" s="91">
        <f>IFERROR((SUM(B19:H19)-K46)/A33,0)</f>
        <v>1.2250000000000001</v>
      </c>
      <c r="H30" s="91">
        <f>IFERROR((SUM(B24:H24)-L46)/A34,0)</f>
        <v>2.6166666666666667</v>
      </c>
      <c r="I30" s="61">
        <f>SUM(I7,I12,I17,I22,I27)</f>
        <v>31520</v>
      </c>
      <c r="K30" s="51" t="s">
        <v>135</v>
      </c>
      <c r="L30" s="51" t="s">
        <v>130</v>
      </c>
      <c r="M30" s="139">
        <v>150000</v>
      </c>
      <c r="O30" s="51" t="s">
        <v>360</v>
      </c>
      <c r="P30" s="139">
        <v>120000</v>
      </c>
      <c r="Q30" s="61">
        <f>ROUNDUP(P30,-3)</f>
        <v>120000</v>
      </c>
      <c r="S30" s="51" t="s">
        <v>115</v>
      </c>
      <c r="T30" s="22">
        <v>200000</v>
      </c>
      <c r="U30" s="61">
        <f>ROUNDUP(T30,-3)</f>
        <v>200000</v>
      </c>
    </row>
    <row r="31" spans="1:21">
      <c r="A31" s="22">
        <v>160000</v>
      </c>
      <c r="B31" s="2"/>
      <c r="C31" s="51" t="s">
        <v>96</v>
      </c>
      <c r="D31" s="91">
        <f>IFERROR(SUM(B5:H5)/A30,0)</f>
        <v>0.98806249999999995</v>
      </c>
      <c r="E31" s="91">
        <f>IFERROR((SUM(B10:H10))/A31,0)</f>
        <v>0.91456249999999994</v>
      </c>
      <c r="F31" s="91">
        <f>IFERROR((SUM(B15:H15)-J47)/A32,0)</f>
        <v>1.2945625000000001</v>
      </c>
      <c r="G31" s="91">
        <f>IFERROR((SUM(B20:H20)-K47)/A33,0)</f>
        <v>1.1758124999999999</v>
      </c>
      <c r="H31" s="91">
        <f>IFERROR((SUM(B25:H25)-L47)/A34,0)</f>
        <v>2.5533333333333332</v>
      </c>
      <c r="I31" s="41" t="s">
        <v>134</v>
      </c>
      <c r="K31" s="51" t="s">
        <v>133</v>
      </c>
      <c r="L31" s="51" t="s">
        <v>130</v>
      </c>
      <c r="M31" s="139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160000</v>
      </c>
      <c r="B32" s="2"/>
      <c r="C32" s="51" t="s">
        <v>132</v>
      </c>
      <c r="D32" s="90">
        <f>A30-SUM(B5:H5)</f>
        <v>1910</v>
      </c>
      <c r="E32" s="90">
        <f>A31-SUM(B10:H10)</f>
        <v>13670</v>
      </c>
      <c r="F32" s="90">
        <f>A32-SUM(B15:H15)</f>
        <v>-64130</v>
      </c>
      <c r="G32" s="90">
        <f>A33-SUM(B20:H20)</f>
        <v>-31430</v>
      </c>
      <c r="H32" s="90">
        <f>A34-SUM(B25:H25)</f>
        <v>-114500</v>
      </c>
      <c r="I32" s="61">
        <f>G27-H27</f>
        <v>31520</v>
      </c>
      <c r="K32" s="51" t="s">
        <v>131</v>
      </c>
      <c r="L32" s="51" t="s">
        <v>130</v>
      </c>
      <c r="M32" s="139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160000</v>
      </c>
      <c r="B33" s="2"/>
      <c r="C33" s="51" t="s">
        <v>129</v>
      </c>
      <c r="D33" s="89">
        <f>D32</f>
        <v>1910</v>
      </c>
      <c r="E33" s="89">
        <f>D33+E32</f>
        <v>15580</v>
      </c>
      <c r="F33" s="89">
        <f>E33+F32</f>
        <v>-48550</v>
      </c>
      <c r="G33" s="89">
        <f>F33+G32</f>
        <v>-79980</v>
      </c>
      <c r="H33" s="89">
        <f>G33+H32</f>
        <v>-194480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60000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22">
        <v>200000</v>
      </c>
      <c r="U34" s="61">
        <f>ROUNDUP(T34,-3)</f>
        <v>200000</v>
      </c>
    </row>
    <row r="35" spans="1:21">
      <c r="A35" s="85">
        <f>SUM(A30:A34)</f>
        <v>700000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304</v>
      </c>
      <c r="L35" s="41" t="s">
        <v>28</v>
      </c>
      <c r="M35" s="22" t="s">
        <v>121</v>
      </c>
      <c r="N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926000</v>
      </c>
      <c r="D36" s="61">
        <f>S24</f>
        <v>1159000</v>
      </c>
      <c r="E36" s="61">
        <f>SUM(M30:M32)</f>
        <v>190000</v>
      </c>
      <c r="F36" s="61">
        <f>U34</f>
        <v>200000</v>
      </c>
      <c r="G36" s="61">
        <f>U30</f>
        <v>200000</v>
      </c>
      <c r="H36" s="61">
        <f>Q33</f>
        <v>120000</v>
      </c>
      <c r="I36" s="61">
        <f>U40</f>
        <v>30000</v>
      </c>
      <c r="J36" s="61">
        <f>O53</f>
        <v>0</v>
      </c>
      <c r="K36" s="22">
        <f>SUM(J46:P46)</f>
        <v>41000</v>
      </c>
      <c r="L36" s="61">
        <f>SUM(C36:J36)-K36</f>
        <v>2784000</v>
      </c>
      <c r="M36" s="33" t="s">
        <v>120</v>
      </c>
      <c r="N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894480</v>
      </c>
      <c r="D37" s="61">
        <f>R24</f>
        <v>1158467</v>
      </c>
      <c r="E37" s="61">
        <f>SUM(M30:M32)</f>
        <v>190000</v>
      </c>
      <c r="F37" s="22">
        <f>T34</f>
        <v>200000</v>
      </c>
      <c r="G37" s="22">
        <f>T30</f>
        <v>200000</v>
      </c>
      <c r="H37" s="61">
        <f>P33</f>
        <v>120000</v>
      </c>
      <c r="I37" s="22">
        <f>T40</f>
        <v>29900</v>
      </c>
      <c r="J37" s="22">
        <f>O54</f>
        <v>0</v>
      </c>
      <c r="K37" s="22">
        <f>SUM(J47:P47)</f>
        <v>41600</v>
      </c>
      <c r="L37" s="61">
        <f>SUM(C37:J37)-K37</f>
        <v>2751247</v>
      </c>
      <c r="M37" s="33" t="s">
        <v>118</v>
      </c>
      <c r="N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M38" s="33" t="s">
        <v>115</v>
      </c>
      <c r="N38" s="22">
        <v>200000</v>
      </c>
      <c r="P38" s="51" t="s">
        <v>360</v>
      </c>
      <c r="Q38" s="22">
        <v>120000</v>
      </c>
      <c r="S38" s="51" t="s">
        <v>370</v>
      </c>
      <c r="T38" s="22">
        <v>29900</v>
      </c>
      <c r="U38" s="61">
        <f>ROUNDUP(T38,-3)</f>
        <v>30000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29900</v>
      </c>
      <c r="U40" s="81">
        <f>SUM(U38:U39)</f>
        <v>30000</v>
      </c>
    </row>
    <row r="41" spans="1:21">
      <c r="B41" s="79" t="s">
        <v>97</v>
      </c>
      <c r="C41" s="22">
        <f>C42</f>
        <v>2785740</v>
      </c>
      <c r="D41" s="61">
        <f>L36</f>
        <v>2784000</v>
      </c>
      <c r="E41" s="78">
        <f>C41-D41</f>
        <v>1740</v>
      </c>
      <c r="F41" s="77" t="str">
        <f>IF(E41&gt;0,"SUCCESS","FAIL")</f>
        <v>SUCCESS</v>
      </c>
      <c r="H41" s="61">
        <f>C36-C37</f>
        <v>31520</v>
      </c>
      <c r="I41" s="61">
        <f>SUM(I7,I12,I17,I22,I27)</f>
        <v>31520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2785740</v>
      </c>
      <c r="D42" s="61">
        <f>L37</f>
        <v>2751247</v>
      </c>
      <c r="E42" s="78">
        <f>C42-D42</f>
        <v>34493</v>
      </c>
      <c r="F42" s="77" t="str">
        <f>IF(E42&gt;0,"SUCCESS","FAIL")</f>
        <v>SUCCESS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</row>
    <row r="44" spans="1:21">
      <c r="I44" s="41" t="s">
        <v>99</v>
      </c>
      <c r="J44" s="75">
        <v>46101</v>
      </c>
      <c r="K44" s="41" t="s">
        <v>368</v>
      </c>
      <c r="L44" s="41" t="s">
        <v>371</v>
      </c>
      <c r="M44" s="41"/>
      <c r="N44" s="41"/>
      <c r="O44" s="41"/>
      <c r="P44" s="41"/>
    </row>
    <row r="45" spans="1:21" ht="19.8" thickBot="1">
      <c r="B45" t="s">
        <v>109</v>
      </c>
      <c r="E45" s="111" t="s">
        <v>311</v>
      </c>
      <c r="I45" s="41" t="s">
        <v>98</v>
      </c>
      <c r="J45" s="41" t="s">
        <v>367</v>
      </c>
      <c r="K45" s="41" t="s">
        <v>314</v>
      </c>
      <c r="L45" s="41" t="s">
        <v>372</v>
      </c>
      <c r="M45" s="41"/>
      <c r="N45" s="41"/>
      <c r="O45" s="41"/>
      <c r="P45" s="41"/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v>17000</v>
      </c>
      <c r="K46" s="33">
        <v>3000</v>
      </c>
      <c r="L46" s="33">
        <v>21000</v>
      </c>
      <c r="M46" s="33"/>
      <c r="N46" s="33"/>
      <c r="O46" s="33"/>
      <c r="P46" s="33"/>
    </row>
    <row r="47" spans="1:21" ht="19.8" thickBot="1">
      <c r="B47" s="51" t="s">
        <v>104</v>
      </c>
      <c r="C47" s="22">
        <v>2785740</v>
      </c>
      <c r="E47" s="70">
        <f>C36</f>
        <v>926000</v>
      </c>
      <c r="F47" s="69">
        <f>'[1]3월'!$W$12</f>
        <v>926000</v>
      </c>
      <c r="G47" s="68" t="b">
        <f>IF(G27='[1]3월'!$W$12,TRUE,FALSE)</f>
        <v>1</v>
      </c>
      <c r="I47" s="41" t="s">
        <v>96</v>
      </c>
      <c r="J47" s="33">
        <v>17000</v>
      </c>
      <c r="K47" s="33">
        <v>3300</v>
      </c>
      <c r="L47" s="33">
        <v>21300</v>
      </c>
      <c r="M47" s="33"/>
      <c r="N47" s="33"/>
      <c r="O47" s="33"/>
      <c r="P47" s="33"/>
    </row>
    <row r="48" spans="1:21">
      <c r="B48" s="51" t="s">
        <v>100</v>
      </c>
      <c r="C48" s="22">
        <f>SUM(F61:I61)</f>
        <v>0</v>
      </c>
    </row>
    <row r="49" spans="2:15">
      <c r="B49" s="51" t="s">
        <v>103</v>
      </c>
      <c r="C49" s="22">
        <v>0</v>
      </c>
    </row>
    <row r="50" spans="2:15">
      <c r="I50" s="2"/>
    </row>
    <row r="52" spans="2:15">
      <c r="B52" s="66" t="s">
        <v>16</v>
      </c>
      <c r="C52" s="2"/>
      <c r="D52" s="2"/>
      <c r="E52" s="2"/>
      <c r="F52" s="2"/>
      <c r="N52" s="66" t="s">
        <v>102</v>
      </c>
      <c r="O52" s="2"/>
    </row>
    <row r="53" spans="2:15">
      <c r="B53" s="41" t="s">
        <v>99</v>
      </c>
      <c r="C53" s="41"/>
      <c r="D53" s="41"/>
      <c r="E53" s="41"/>
      <c r="F53" s="41"/>
      <c r="G53" s="41"/>
      <c r="H53" s="41"/>
      <c r="I53" s="41"/>
      <c r="J53" s="41"/>
      <c r="K53" s="41"/>
      <c r="N53" s="41" t="s">
        <v>97</v>
      </c>
      <c r="O53" s="33">
        <f>SUM(C55:K55)-SUM(C61)</f>
        <v>0</v>
      </c>
    </row>
    <row r="54" spans="2:15">
      <c r="B54" s="41" t="s">
        <v>98</v>
      </c>
      <c r="C54" s="41"/>
      <c r="D54" s="41"/>
      <c r="E54" s="41"/>
      <c r="F54" s="41"/>
      <c r="G54" s="41"/>
      <c r="H54" s="41"/>
      <c r="I54" s="41"/>
      <c r="J54" s="41"/>
      <c r="K54" s="41"/>
      <c r="N54" s="41" t="s">
        <v>96</v>
      </c>
      <c r="O54" s="33">
        <f>SUM(C56:K56)-SUM(C62:F62)</f>
        <v>0</v>
      </c>
    </row>
    <row r="55" spans="2:15">
      <c r="B55" s="41" t="s">
        <v>97</v>
      </c>
      <c r="C55" s="33"/>
      <c r="D55" s="33"/>
      <c r="E55" s="33"/>
      <c r="F55" s="33"/>
      <c r="G55" s="33"/>
      <c r="H55" s="33"/>
      <c r="I55" s="33"/>
      <c r="J55" s="33"/>
      <c r="K55" s="33"/>
    </row>
    <row r="56" spans="2:15">
      <c r="B56" s="41" t="s">
        <v>96</v>
      </c>
      <c r="C56" s="33"/>
      <c r="D56" s="33"/>
      <c r="E56" s="33"/>
      <c r="F56" s="33"/>
      <c r="G56" s="33"/>
      <c r="H56" s="33"/>
      <c r="I56" s="33"/>
      <c r="J56" s="33"/>
      <c r="K56" s="33"/>
    </row>
    <row r="58" spans="2:15">
      <c r="B58" s="66" t="s">
        <v>101</v>
      </c>
      <c r="C58" s="2"/>
      <c r="D58" s="2"/>
      <c r="E58" s="66" t="s">
        <v>100</v>
      </c>
      <c r="F58" s="2"/>
    </row>
    <row r="59" spans="2:15">
      <c r="B59" s="41" t="s">
        <v>99</v>
      </c>
      <c r="C59" s="41"/>
      <c r="D59" s="65"/>
      <c r="E59" s="41" t="s">
        <v>99</v>
      </c>
      <c r="F59" s="41"/>
      <c r="G59" s="41"/>
      <c r="H59" s="41"/>
      <c r="I59" s="41"/>
    </row>
    <row r="60" spans="2:15">
      <c r="B60" s="41" t="s">
        <v>98</v>
      </c>
      <c r="C60" s="41"/>
      <c r="D60" s="65"/>
      <c r="E60" s="41" t="s">
        <v>98</v>
      </c>
      <c r="F60" s="41"/>
      <c r="G60" s="41"/>
      <c r="H60" s="41"/>
      <c r="I60" s="41"/>
    </row>
    <row r="61" spans="2:15">
      <c r="B61" s="41" t="s">
        <v>97</v>
      </c>
      <c r="C61" s="33"/>
      <c r="D61" s="65"/>
      <c r="E61" s="41" t="s">
        <v>97</v>
      </c>
      <c r="F61" s="33"/>
      <c r="G61" s="33"/>
      <c r="H61" s="33"/>
      <c r="I61" s="33"/>
    </row>
    <row r="62" spans="2:15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13" priority="1" operator="equal">
      <formula>"FAIL"</formula>
    </cfRule>
    <cfRule type="cellIs" dxfId="12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F4E9-23B7-0949-9CEA-CC20D8EEEB0B}">
  <sheetPr codeName="Sheet7"/>
  <dimension ref="A1:U62"/>
  <sheetViews>
    <sheetView topLeftCell="A12" zoomScaleNormal="100" workbookViewId="0">
      <selection activeCell="K36" sqref="K36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102"/>
      <c r="C3" s="75"/>
      <c r="D3" s="75" t="s">
        <v>373</v>
      </c>
      <c r="E3" s="75" t="s">
        <v>374</v>
      </c>
      <c r="F3" s="75" t="s">
        <v>375</v>
      </c>
      <c r="G3" s="103" t="s">
        <v>376</v>
      </c>
      <c r="H3" s="102" t="s">
        <v>377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/>
      <c r="D4" s="22">
        <v>19000</v>
      </c>
      <c r="E4" s="22">
        <v>44000</v>
      </c>
      <c r="F4" s="22">
        <v>36000</v>
      </c>
      <c r="G4" s="22">
        <v>56000</v>
      </c>
      <c r="H4" s="22">
        <v>12000</v>
      </c>
      <c r="I4" s="108">
        <f>SUM(B4:H4)</f>
        <v>167000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/>
      <c r="C5" s="22"/>
      <c r="D5" s="22">
        <v>18590</v>
      </c>
      <c r="E5" s="22">
        <v>43900</v>
      </c>
      <c r="F5" s="110">
        <v>35400</v>
      </c>
      <c r="G5" s="22">
        <v>55100</v>
      </c>
      <c r="H5" s="22">
        <v>10800</v>
      </c>
      <c r="I5" s="108">
        <f>SUM(B5:H5)</f>
        <v>163790</v>
      </c>
      <c r="K5" s="51" t="s">
        <v>226</v>
      </c>
      <c r="L5" s="109" t="s">
        <v>490</v>
      </c>
      <c r="M5" s="51" t="s">
        <v>160</v>
      </c>
      <c r="N5" s="51" t="s">
        <v>188</v>
      </c>
      <c r="O5" s="51" t="s">
        <v>225</v>
      </c>
      <c r="P5" s="126">
        <v>148930</v>
      </c>
      <c r="Q5" s="22">
        <v>5000</v>
      </c>
      <c r="R5" s="61">
        <f>P5-Q5</f>
        <v>143930</v>
      </c>
      <c r="S5" s="61">
        <f t="shared" si="1"/>
        <v>144000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490</v>
      </c>
      <c r="M6" s="51" t="s">
        <v>160</v>
      </c>
      <c r="N6" s="51" t="s">
        <v>188</v>
      </c>
      <c r="O6" s="51" t="s">
        <v>223</v>
      </c>
      <c r="P6" s="126">
        <v>27450</v>
      </c>
      <c r="Q6" s="22">
        <v>2745</v>
      </c>
      <c r="R6" s="61">
        <f t="shared" si="0"/>
        <v>24705</v>
      </c>
      <c r="S6" s="61">
        <f t="shared" si="1"/>
        <v>25000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167000</v>
      </c>
      <c r="H7" s="94">
        <f>SUM(B5:H5)</f>
        <v>163790</v>
      </c>
      <c r="I7" s="93">
        <f>I4-I5</f>
        <v>3210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143056</v>
      </c>
      <c r="Q7" s="22">
        <v>5000</v>
      </c>
      <c r="R7" s="61">
        <f>P7-Q7</f>
        <v>138056</v>
      </c>
      <c r="S7" s="61">
        <f t="shared" si="1"/>
        <v>139000</v>
      </c>
      <c r="T7" s="51"/>
    </row>
    <row r="8" spans="1:20">
      <c r="A8" s="51"/>
      <c r="B8" s="75" t="s">
        <v>383</v>
      </c>
      <c r="C8" s="75" t="s">
        <v>378</v>
      </c>
      <c r="D8" s="75" t="s">
        <v>379</v>
      </c>
      <c r="E8" s="75" t="s">
        <v>380</v>
      </c>
      <c r="F8" s="75" t="s">
        <v>381</v>
      </c>
      <c r="G8" s="103" t="s">
        <v>382</v>
      </c>
      <c r="H8" s="102" t="s">
        <v>384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53620</v>
      </c>
      <c r="Q8" s="22">
        <v>5000</v>
      </c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18000</v>
      </c>
      <c r="C9" s="22">
        <v>18000</v>
      </c>
      <c r="D9" s="22">
        <v>16000</v>
      </c>
      <c r="E9" s="22">
        <v>24000</v>
      </c>
      <c r="F9" s="22">
        <v>52000</v>
      </c>
      <c r="G9" s="22">
        <v>51000</v>
      </c>
      <c r="H9" s="22">
        <v>80000</v>
      </c>
      <c r="I9" s="108">
        <f>SUM(B9:H9)</f>
        <v>259000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f>15500+1200</f>
        <v>16700</v>
      </c>
      <c r="C10" s="22">
        <v>16650</v>
      </c>
      <c r="D10" s="22">
        <v>15700</v>
      </c>
      <c r="E10" s="22">
        <v>23400</v>
      </c>
      <c r="F10" s="22">
        <v>51200</v>
      </c>
      <c r="G10" s="22">
        <v>50100</v>
      </c>
      <c r="H10" s="22">
        <v>78110</v>
      </c>
      <c r="I10" s="108">
        <f>SUM(B10:H10)</f>
        <v>251860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26">
        <v>16500</v>
      </c>
      <c r="Q10" s="22">
        <v>1650</v>
      </c>
      <c r="R10" s="61">
        <f t="shared" si="0"/>
        <v>14850</v>
      </c>
      <c r="S10" s="61">
        <f t="shared" si="1"/>
        <v>15000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484</v>
      </c>
      <c r="M11" s="51" t="s">
        <v>202</v>
      </c>
      <c r="N11" s="51" t="s">
        <v>188</v>
      </c>
      <c r="O11" s="51" t="s">
        <v>201</v>
      </c>
      <c r="P11" s="127"/>
      <c r="Q11" s="22"/>
      <c r="R11" s="61">
        <f t="shared" si="0"/>
        <v>0</v>
      </c>
      <c r="S11" s="61">
        <f t="shared" si="1"/>
        <v>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426000</v>
      </c>
      <c r="H12" s="94">
        <f>SUM(H7,B10:H10)</f>
        <v>415650</v>
      </c>
      <c r="I12" s="93">
        <f>I9-I10</f>
        <v>7140</v>
      </c>
      <c r="K12" s="51"/>
      <c r="L12" s="51" t="s">
        <v>485</v>
      </c>
      <c r="M12" s="51" t="s">
        <v>200</v>
      </c>
      <c r="N12" s="51" t="s">
        <v>188</v>
      </c>
      <c r="O12" s="51" t="s">
        <v>199</v>
      </c>
      <c r="P12" s="126">
        <v>76390</v>
      </c>
      <c r="Q12" s="22">
        <v>5000</v>
      </c>
      <c r="R12" s="61">
        <f t="shared" si="0"/>
        <v>71390</v>
      </c>
      <c r="S12" s="61">
        <f t="shared" si="1"/>
        <v>72000</v>
      </c>
      <c r="T12" s="51"/>
    </row>
    <row r="13" spans="1:20">
      <c r="B13" s="75" t="s">
        <v>391</v>
      </c>
      <c r="C13" s="75" t="s">
        <v>385</v>
      </c>
      <c r="D13" s="75" t="s">
        <v>386</v>
      </c>
      <c r="E13" s="75" t="s">
        <v>387</v>
      </c>
      <c r="F13" s="75" t="s">
        <v>388</v>
      </c>
      <c r="G13" s="103" t="s">
        <v>389</v>
      </c>
      <c r="H13" s="102" t="s">
        <v>392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16528</v>
      </c>
      <c r="Q13" s="22"/>
      <c r="R13" s="61">
        <f t="shared" si="0"/>
        <v>16528</v>
      </c>
      <c r="S13" s="61">
        <f t="shared" si="1"/>
        <v>17000</v>
      </c>
      <c r="T13" s="51"/>
    </row>
    <row r="14" spans="1:20">
      <c r="A14" s="51" t="s">
        <v>149</v>
      </c>
      <c r="B14" s="22">
        <v>8000</v>
      </c>
      <c r="C14" s="22">
        <v>27000</v>
      </c>
      <c r="D14" s="22">
        <v>10000</v>
      </c>
      <c r="E14" s="22">
        <v>22000</v>
      </c>
      <c r="F14" s="22">
        <v>72000</v>
      </c>
      <c r="G14" s="22">
        <v>53000</v>
      </c>
      <c r="H14" s="22">
        <v>69000</v>
      </c>
      <c r="I14" s="107">
        <f>SUM(B14:H14)</f>
        <v>261000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15407</v>
      </c>
      <c r="Q14" s="22"/>
      <c r="R14" s="61">
        <f t="shared" si="0"/>
        <v>15407</v>
      </c>
      <c r="S14" s="61">
        <f t="shared" si="1"/>
        <v>16000</v>
      </c>
      <c r="T14" s="51"/>
    </row>
    <row r="15" spans="1:20">
      <c r="A15" s="51" t="s">
        <v>96</v>
      </c>
      <c r="B15" s="22">
        <v>8000</v>
      </c>
      <c r="C15" s="22">
        <v>26000</v>
      </c>
      <c r="D15" s="22">
        <v>9800</v>
      </c>
      <c r="E15" s="22">
        <v>21000</v>
      </c>
      <c r="F15" s="22">
        <v>69660</v>
      </c>
      <c r="G15" s="22">
        <v>51820</v>
      </c>
      <c r="H15" s="22">
        <v>67780</v>
      </c>
      <c r="I15" s="107">
        <f>SUM(B15:H15)</f>
        <v>254060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10399</v>
      </c>
      <c r="Q15" s="22"/>
      <c r="R15" s="61">
        <f t="shared" si="0"/>
        <v>10399</v>
      </c>
      <c r="S15" s="61">
        <f t="shared" si="1"/>
        <v>11000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687000</v>
      </c>
      <c r="H17" s="94">
        <f>SUM(H12,B15:H15)</f>
        <v>669710</v>
      </c>
      <c r="I17" s="93">
        <f>I14-I15</f>
        <v>6940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75" t="s">
        <v>399</v>
      </c>
      <c r="C18" s="75" t="s">
        <v>400</v>
      </c>
      <c r="D18" s="75" t="s">
        <v>390</v>
      </c>
      <c r="E18" s="75" t="s">
        <v>393</v>
      </c>
      <c r="F18" s="75" t="s">
        <v>394</v>
      </c>
      <c r="G18" s="103" t="s">
        <v>395</v>
      </c>
      <c r="H18" s="102" t="s">
        <v>396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5365</v>
      </c>
      <c r="Q18" s="22"/>
      <c r="R18" s="61">
        <f t="shared" si="0"/>
        <v>5365</v>
      </c>
      <c r="S18" s="61">
        <f t="shared" si="1"/>
        <v>6000</v>
      </c>
      <c r="T18" s="51"/>
    </row>
    <row r="19" spans="1:21">
      <c r="A19" s="51" t="s">
        <v>149</v>
      </c>
      <c r="B19" s="22">
        <v>34000</v>
      </c>
      <c r="C19" s="22">
        <v>22000</v>
      </c>
      <c r="D19" s="22">
        <v>17000</v>
      </c>
      <c r="E19" s="22">
        <v>16000</v>
      </c>
      <c r="F19" s="22">
        <v>96000</v>
      </c>
      <c r="G19" s="22">
        <v>34000</v>
      </c>
      <c r="H19" s="22">
        <v>48000</v>
      </c>
      <c r="I19" s="105">
        <f>SUM(B19:H19)</f>
        <v>267000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8900</v>
      </c>
      <c r="Q19" s="22">
        <f>8900-4129</f>
        <v>4771</v>
      </c>
      <c r="R19" s="61">
        <f t="shared" si="0"/>
        <v>4129</v>
      </c>
      <c r="S19" s="61">
        <f t="shared" si="1"/>
        <v>5000</v>
      </c>
      <c r="T19" s="51"/>
    </row>
    <row r="20" spans="1:21">
      <c r="A20" s="51" t="s">
        <v>96</v>
      </c>
      <c r="B20" s="22">
        <v>32380</v>
      </c>
      <c r="C20" s="22">
        <v>21400</v>
      </c>
      <c r="D20" s="22">
        <v>15700</v>
      </c>
      <c r="E20" s="22">
        <v>15800</v>
      </c>
      <c r="F20" s="22">
        <v>94900</v>
      </c>
      <c r="G20" s="22">
        <v>32560</v>
      </c>
      <c r="H20" s="22">
        <v>46540</v>
      </c>
      <c r="I20" s="105">
        <f>SUM(B20:H20)</f>
        <v>259280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f>1044+1928</f>
        <v>2972</v>
      </c>
      <c r="R20" s="61">
        <f t="shared" si="0"/>
        <v>1928</v>
      </c>
      <c r="S20" s="61">
        <f t="shared" si="1"/>
        <v>2000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954000</v>
      </c>
      <c r="H22" s="94">
        <f>SUM(H17,B20:H20)</f>
        <v>928990</v>
      </c>
      <c r="I22" s="93">
        <f>I19-I20</f>
        <v>7720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434</v>
      </c>
    </row>
    <row r="23" spans="1:21">
      <c r="B23" s="75" t="s">
        <v>401</v>
      </c>
      <c r="C23" s="75" t="s">
        <v>397</v>
      </c>
      <c r="D23" s="75" t="s">
        <v>398</v>
      </c>
      <c r="E23" s="75" t="s">
        <v>402</v>
      </c>
      <c r="F23" s="75"/>
      <c r="G23" s="103"/>
      <c r="H23" s="102"/>
      <c r="I23" s="98" t="s">
        <v>28</v>
      </c>
      <c r="K23" s="51"/>
      <c r="L23" s="51"/>
      <c r="M23" s="51"/>
      <c r="N23" s="51"/>
      <c r="O23" s="51"/>
      <c r="P23" s="127"/>
      <c r="Q23" s="22"/>
      <c r="R23" s="61">
        <f t="shared" si="0"/>
        <v>0</v>
      </c>
      <c r="S23" s="61">
        <f t="shared" si="1"/>
        <v>0</v>
      </c>
      <c r="T23" s="41"/>
    </row>
    <row r="24" spans="1:21">
      <c r="A24" s="51" t="s">
        <v>149</v>
      </c>
      <c r="B24" s="22">
        <v>15000</v>
      </c>
      <c r="C24" s="22">
        <v>21000</v>
      </c>
      <c r="D24" s="22">
        <v>28000</v>
      </c>
      <c r="E24" s="22">
        <f>39000-10000</f>
        <v>29000</v>
      </c>
      <c r="F24" s="22"/>
      <c r="G24" s="22"/>
      <c r="H24" s="22"/>
      <c r="I24" s="100">
        <f>SUM(B24:H24)</f>
        <v>93000</v>
      </c>
      <c r="K24" s="51" t="s">
        <v>28</v>
      </c>
      <c r="L24" s="51"/>
      <c r="M24" s="51"/>
      <c r="N24" s="51"/>
      <c r="O24" s="51"/>
      <c r="P24" s="61">
        <f>SUM(P4:P23)</f>
        <v>1195325</v>
      </c>
      <c r="Q24" s="22"/>
      <c r="R24" s="61">
        <f>SUM(R4:R23)</f>
        <v>1154187</v>
      </c>
      <c r="S24" s="61">
        <f t="shared" si="1"/>
        <v>1155000</v>
      </c>
      <c r="T24" s="51"/>
    </row>
    <row r="25" spans="1:21">
      <c r="A25" s="51" t="s">
        <v>96</v>
      </c>
      <c r="B25" s="22">
        <v>12900</v>
      </c>
      <c r="C25" s="22">
        <v>20100</v>
      </c>
      <c r="D25" s="22">
        <v>26600</v>
      </c>
      <c r="E25" s="22">
        <f>37550-9500</f>
        <v>28050</v>
      </c>
      <c r="F25" s="22"/>
      <c r="G25" s="22"/>
      <c r="H25" s="22"/>
      <c r="I25" s="100">
        <f>SUM(B25:H25)</f>
        <v>87650</v>
      </c>
      <c r="P25" t="s">
        <v>362</v>
      </c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46117</v>
      </c>
      <c r="M26" s="95" t="s">
        <v>244</v>
      </c>
      <c r="P26" t="s">
        <v>356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1047000</v>
      </c>
      <c r="H27" s="94">
        <f>SUM(H22,B25:H25)</f>
        <v>1016640</v>
      </c>
      <c r="I27" s="93">
        <f>I24-I25</f>
        <v>5350</v>
      </c>
      <c r="P27" t="s">
        <v>357</v>
      </c>
    </row>
    <row r="28" spans="1:21">
      <c r="K28" s="66" t="s">
        <v>126</v>
      </c>
      <c r="O28" s="66" t="s">
        <v>358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140000</v>
      </c>
      <c r="C30" s="51" t="s">
        <v>97</v>
      </c>
      <c r="D30" s="91">
        <f>IFERROR(SUM(B4:H4)/A30,0)</f>
        <v>1.1928571428571428</v>
      </c>
      <c r="E30" s="91">
        <f>IFERROR((SUM(B9:H9))/A31,0)</f>
        <v>1.3631578947368421</v>
      </c>
      <c r="F30" s="91">
        <f>IFERROR((SUM(B14:H14)-J46)/A32,0)</f>
        <v>1.2736842105263158</v>
      </c>
      <c r="G30" s="91">
        <f>IFERROR((SUM(B19:H19)-K46)/A33,0)</f>
        <v>1.4052631578947368</v>
      </c>
      <c r="H30" s="91">
        <f>IFERROR((SUM(B24:H24)-L46)/A34,0)</f>
        <v>1.0333333333333334</v>
      </c>
      <c r="I30" s="61">
        <f>SUM(I7,I12,I17,I22,I27)</f>
        <v>30360</v>
      </c>
      <c r="K30" s="51" t="s">
        <v>135</v>
      </c>
      <c r="L30" s="51" t="s">
        <v>130</v>
      </c>
      <c r="M30" s="143">
        <v>150000</v>
      </c>
      <c r="O30" s="51" t="s">
        <v>360</v>
      </c>
      <c r="P30" s="143">
        <v>120000</v>
      </c>
      <c r="Q30" s="61">
        <f>ROUNDUP(P30,-3)</f>
        <v>120000</v>
      </c>
      <c r="S30" s="51" t="s">
        <v>115</v>
      </c>
      <c r="T30" s="140">
        <v>200000</v>
      </c>
      <c r="U30" s="61">
        <f>ROUNDUP(T30,-3)</f>
        <v>200000</v>
      </c>
    </row>
    <row r="31" spans="1:21">
      <c r="A31" s="22">
        <v>190000</v>
      </c>
      <c r="B31" s="2"/>
      <c r="C31" s="51" t="s">
        <v>96</v>
      </c>
      <c r="D31" s="91">
        <f>IFERROR(SUM(B5:H5)/A30,0)</f>
        <v>1.1699285714285714</v>
      </c>
      <c r="E31" s="91">
        <f>IFERROR((SUM(B10:H10))/A31,0)</f>
        <v>1.325578947368421</v>
      </c>
      <c r="F31" s="91">
        <f>IFERROR((SUM(B15:H15)-J47)/A32,0)</f>
        <v>1.2353157894736841</v>
      </c>
      <c r="G31" s="91">
        <f>IFERROR((SUM(B20:H20)-K47)/A33,0)</f>
        <v>1.3646315789473684</v>
      </c>
      <c r="H31" s="91">
        <f>IFERROR((SUM(B25:H25)-L47)/A34,0)</f>
        <v>0.97388888888888892</v>
      </c>
      <c r="I31" s="41" t="s">
        <v>134</v>
      </c>
      <c r="K31" s="51" t="s">
        <v>133</v>
      </c>
      <c r="L31" s="51" t="s">
        <v>130</v>
      </c>
      <c r="M31" s="143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190000</v>
      </c>
      <c r="B32" s="2"/>
      <c r="C32" s="51" t="s">
        <v>132</v>
      </c>
      <c r="D32" s="90">
        <f>A30-SUM(B5:H5)</f>
        <v>-23790</v>
      </c>
      <c r="E32" s="90">
        <f>A31-SUM(B10:H10)</f>
        <v>-61860</v>
      </c>
      <c r="F32" s="90">
        <f>A32-SUM(B15:H15)</f>
        <v>-64060</v>
      </c>
      <c r="G32" s="90">
        <f>A33-SUM(B20:H20)</f>
        <v>-69280</v>
      </c>
      <c r="H32" s="90">
        <f>A34-SUM(B25:H25)</f>
        <v>2350</v>
      </c>
      <c r="I32" s="61">
        <f>G27-H27</f>
        <v>30360</v>
      </c>
      <c r="K32" s="51" t="s">
        <v>131</v>
      </c>
      <c r="L32" s="51" t="s">
        <v>130</v>
      </c>
      <c r="M32" s="143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190000</v>
      </c>
      <c r="B33" s="2"/>
      <c r="C33" s="51" t="s">
        <v>129</v>
      </c>
      <c r="D33" s="89">
        <f>D32</f>
        <v>-23790</v>
      </c>
      <c r="E33" s="89">
        <f>D33+E32</f>
        <v>-85650</v>
      </c>
      <c r="F33" s="89">
        <f>E33+F32</f>
        <v>-149710</v>
      </c>
      <c r="G33" s="89">
        <f>F33+G32</f>
        <v>-218990</v>
      </c>
      <c r="H33" s="89">
        <f>G33+H32</f>
        <v>-216640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90000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>
        <v>200000</v>
      </c>
      <c r="U34" s="61">
        <f>ROUNDUP(T34,-3)</f>
        <v>200000</v>
      </c>
    </row>
    <row r="35" spans="1:21">
      <c r="A35" s="85">
        <f>SUM(A30:A34)</f>
        <v>800000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304</v>
      </c>
      <c r="L35" s="41" t="s">
        <v>28</v>
      </c>
      <c r="M35" s="22" t="s">
        <v>121</v>
      </c>
      <c r="N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1047000</v>
      </c>
      <c r="D36" s="61">
        <f>S24</f>
        <v>1155000</v>
      </c>
      <c r="E36" s="61">
        <f>SUM(M30:M32)</f>
        <v>190000</v>
      </c>
      <c r="F36" s="61">
        <f>U34</f>
        <v>200000</v>
      </c>
      <c r="G36" s="61">
        <f>U30</f>
        <v>200000</v>
      </c>
      <c r="H36" s="61">
        <f>Q33</f>
        <v>120000</v>
      </c>
      <c r="I36" s="61">
        <f>U40</f>
        <v>0</v>
      </c>
      <c r="J36" s="61">
        <f>S53</f>
        <v>55000</v>
      </c>
      <c r="K36" s="22">
        <f>SUM(J46:P46)</f>
        <v>19000</v>
      </c>
      <c r="L36" s="61">
        <f>SUM(C36:J36)-K36</f>
        <v>2948000</v>
      </c>
      <c r="M36" s="33" t="s">
        <v>120</v>
      </c>
      <c r="N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1016640</v>
      </c>
      <c r="D37" s="61">
        <f>R24</f>
        <v>1154187</v>
      </c>
      <c r="E37" s="61">
        <f>SUM(M30:M32)</f>
        <v>190000</v>
      </c>
      <c r="F37" s="22">
        <f>T34</f>
        <v>200000</v>
      </c>
      <c r="G37" s="22">
        <f>T30</f>
        <v>200000</v>
      </c>
      <c r="H37" s="61">
        <f>P33</f>
        <v>120000</v>
      </c>
      <c r="I37" s="22">
        <f>T40</f>
        <v>0</v>
      </c>
      <c r="J37" s="22">
        <f>S54</f>
        <v>52250</v>
      </c>
      <c r="K37" s="22">
        <f>SUM(J47:P47)</f>
        <v>19350</v>
      </c>
      <c r="L37" s="61">
        <f>SUM(C37:J37)-K37</f>
        <v>2913727</v>
      </c>
      <c r="M37" s="33" t="s">
        <v>118</v>
      </c>
      <c r="N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M38" s="33" t="s">
        <v>115</v>
      </c>
      <c r="N38" s="22">
        <v>200000</v>
      </c>
      <c r="P38" s="51" t="s">
        <v>360</v>
      </c>
      <c r="Q38" s="22">
        <v>120000</v>
      </c>
      <c r="S38" s="51"/>
      <c r="T38" s="22"/>
      <c r="U38" s="61">
        <f>ROUNDUP(T38,-3)</f>
        <v>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0</v>
      </c>
      <c r="U40" s="81">
        <f>SUM(U38:U39)</f>
        <v>0</v>
      </c>
    </row>
    <row r="41" spans="1:21">
      <c r="B41" s="79" t="s">
        <v>97</v>
      </c>
      <c r="C41" s="22">
        <f>C42</f>
        <v>2916370</v>
      </c>
      <c r="D41" s="61">
        <f>L36</f>
        <v>2948000</v>
      </c>
      <c r="E41" s="145">
        <f>C41-D41</f>
        <v>-31630</v>
      </c>
      <c r="F41" s="77" t="str">
        <f>IF(E41&gt;0,"SUCCESS","FAIL")</f>
        <v>FAIL</v>
      </c>
      <c r="H41" s="61">
        <f>C36-C37</f>
        <v>30360</v>
      </c>
      <c r="I41" s="61">
        <f>SUM(I7,I12,I17,I22,I27)</f>
        <v>30360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2916370</v>
      </c>
      <c r="D42" s="61">
        <f>L37</f>
        <v>2913727</v>
      </c>
      <c r="E42" s="145">
        <f>C42-D42</f>
        <v>2643</v>
      </c>
      <c r="F42" s="77" t="str">
        <f>IF(E42&gt;0,"SUCCESS","FAIL")</f>
        <v>SUCCESS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</row>
    <row r="44" spans="1:21">
      <c r="I44" s="41" t="s">
        <v>99</v>
      </c>
      <c r="J44" s="75">
        <v>46142</v>
      </c>
      <c r="K44" s="41"/>
      <c r="L44" s="41"/>
      <c r="M44" s="41"/>
      <c r="N44" s="41"/>
      <c r="O44" s="41"/>
      <c r="P44" s="41"/>
    </row>
    <row r="45" spans="1:21" ht="19.8" thickBot="1">
      <c r="B45" t="s">
        <v>109</v>
      </c>
      <c r="E45" s="111" t="s">
        <v>311</v>
      </c>
      <c r="I45" s="41" t="s">
        <v>98</v>
      </c>
      <c r="J45" s="41" t="s">
        <v>447</v>
      </c>
      <c r="K45" s="41"/>
      <c r="L45" s="41"/>
      <c r="M45" s="41"/>
      <c r="N45" s="41"/>
      <c r="O45" s="41"/>
      <c r="P45" s="41"/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v>19000</v>
      </c>
      <c r="K46" s="33"/>
      <c r="L46" s="33"/>
      <c r="M46" s="33"/>
      <c r="N46" s="33"/>
      <c r="O46" s="33"/>
      <c r="P46" s="33"/>
    </row>
    <row r="47" spans="1:21" ht="19.8" thickBot="1">
      <c r="B47" s="51" t="s">
        <v>104</v>
      </c>
      <c r="C47" s="22">
        <v>2716370</v>
      </c>
      <c r="E47" s="70">
        <f>C36</f>
        <v>1047000</v>
      </c>
      <c r="F47" s="69">
        <f>'[1]4월'!$W$12</f>
        <v>1047000</v>
      </c>
      <c r="G47" s="68" t="b">
        <f>IF(G27='[1]4월'!$W$12,TRUE,FALSE)</f>
        <v>1</v>
      </c>
      <c r="I47" s="41" t="s">
        <v>96</v>
      </c>
      <c r="J47" s="33">
        <v>19350</v>
      </c>
      <c r="K47" s="33"/>
      <c r="L47" s="33"/>
      <c r="M47" s="33"/>
      <c r="N47" s="33"/>
      <c r="O47" s="33"/>
      <c r="P47" s="33"/>
    </row>
    <row r="48" spans="1:21">
      <c r="B48" s="51" t="s">
        <v>100</v>
      </c>
      <c r="C48" s="22">
        <v>200000</v>
      </c>
    </row>
    <row r="49" spans="2:19">
      <c r="B49" s="51" t="s">
        <v>103</v>
      </c>
      <c r="C49" s="141">
        <v>0</v>
      </c>
    </row>
    <row r="50" spans="2:19">
      <c r="I50" s="2"/>
    </row>
    <row r="52" spans="2:19">
      <c r="B52" s="66" t="s">
        <v>16</v>
      </c>
      <c r="C52" s="2"/>
      <c r="D52" s="2"/>
      <c r="E52" s="2"/>
      <c r="F52" s="2"/>
      <c r="R52" s="66" t="s">
        <v>102</v>
      </c>
      <c r="S52" s="2"/>
    </row>
    <row r="53" spans="2:19">
      <c r="B53" s="41" t="s">
        <v>99</v>
      </c>
      <c r="C53" s="75">
        <v>46121</v>
      </c>
      <c r="D53" s="75">
        <v>46121</v>
      </c>
      <c r="E53" s="75">
        <v>46128</v>
      </c>
      <c r="F53" s="75">
        <v>46137</v>
      </c>
      <c r="G53" s="75">
        <v>46137</v>
      </c>
      <c r="H53" s="75">
        <v>46137</v>
      </c>
      <c r="I53" s="75">
        <v>46137</v>
      </c>
      <c r="J53" s="75">
        <v>46137</v>
      </c>
      <c r="K53" s="75">
        <v>46137</v>
      </c>
      <c r="L53" s="75">
        <v>46137</v>
      </c>
      <c r="M53" s="75">
        <v>46137</v>
      </c>
      <c r="N53" s="75">
        <v>46138</v>
      </c>
      <c r="O53" s="75">
        <v>46138</v>
      </c>
      <c r="R53" s="41" t="s">
        <v>97</v>
      </c>
      <c r="S53" s="33">
        <f>SUM(C55:O55)-SUM(C61)</f>
        <v>55000</v>
      </c>
    </row>
    <row r="54" spans="2:19">
      <c r="B54" s="41" t="s">
        <v>98</v>
      </c>
      <c r="C54" s="41" t="s">
        <v>431</v>
      </c>
      <c r="D54" s="41" t="s">
        <v>432</v>
      </c>
      <c r="E54" s="41" t="s">
        <v>432</v>
      </c>
      <c r="F54" s="41" t="s">
        <v>437</v>
      </c>
      <c r="G54" s="41" t="s">
        <v>438</v>
      </c>
      <c r="H54" s="41" t="s">
        <v>439</v>
      </c>
      <c r="I54" s="41" t="s">
        <v>440</v>
      </c>
      <c r="J54" s="41" t="s">
        <v>441</v>
      </c>
      <c r="K54" s="41" t="s">
        <v>442</v>
      </c>
      <c r="L54" s="41" t="s">
        <v>441</v>
      </c>
      <c r="M54" s="41" t="s">
        <v>443</v>
      </c>
      <c r="N54" s="41" t="s">
        <v>444</v>
      </c>
      <c r="O54" s="41" t="s">
        <v>445</v>
      </c>
      <c r="R54" s="41" t="s">
        <v>96</v>
      </c>
      <c r="S54" s="33">
        <f>SUM(C56:O56)-SUM(C62:F62)</f>
        <v>52250</v>
      </c>
    </row>
    <row r="55" spans="2:19">
      <c r="B55" s="41" t="s">
        <v>97</v>
      </c>
      <c r="C55" s="33">
        <v>87000</v>
      </c>
      <c r="D55" s="33">
        <v>41000</v>
      </c>
      <c r="E55" s="33">
        <v>42000</v>
      </c>
      <c r="F55" s="33">
        <v>64000</v>
      </c>
      <c r="G55" s="33">
        <v>20000</v>
      </c>
      <c r="H55" s="33">
        <v>126000</v>
      </c>
      <c r="I55" s="33">
        <v>14000</v>
      </c>
      <c r="J55" s="33">
        <v>43000</v>
      </c>
      <c r="K55" s="33">
        <v>29000</v>
      </c>
      <c r="L55" s="33">
        <v>43000</v>
      </c>
      <c r="M55" s="33">
        <v>31000</v>
      </c>
      <c r="N55" s="33">
        <v>55000</v>
      </c>
      <c r="O55" s="33">
        <v>18000</v>
      </c>
    </row>
    <row r="56" spans="2:19">
      <c r="B56" s="41" t="s">
        <v>96</v>
      </c>
      <c r="C56" s="33">
        <v>86600</v>
      </c>
      <c r="D56" s="33">
        <v>40900</v>
      </c>
      <c r="E56" s="33">
        <v>41300</v>
      </c>
      <c r="F56" s="33">
        <v>64000</v>
      </c>
      <c r="G56" s="33">
        <v>20000</v>
      </c>
      <c r="H56" s="33">
        <v>126000</v>
      </c>
      <c r="I56" s="33">
        <v>13800</v>
      </c>
      <c r="J56" s="33">
        <v>43000</v>
      </c>
      <c r="K56" s="33">
        <v>28500</v>
      </c>
      <c r="L56" s="33">
        <v>43000</v>
      </c>
      <c r="M56" s="33">
        <v>31000</v>
      </c>
      <c r="N56" s="33">
        <v>55000</v>
      </c>
      <c r="O56" s="33">
        <v>17150</v>
      </c>
    </row>
    <row r="58" spans="2:19">
      <c r="B58" s="66" t="s">
        <v>101</v>
      </c>
      <c r="C58" s="2"/>
      <c r="D58" s="2"/>
      <c r="E58" s="66" t="s">
        <v>100</v>
      </c>
      <c r="F58" s="2"/>
    </row>
    <row r="59" spans="2:19">
      <c r="B59" s="41" t="s">
        <v>99</v>
      </c>
      <c r="C59" s="75">
        <v>46139</v>
      </c>
      <c r="D59" s="65"/>
      <c r="E59" s="41" t="s">
        <v>99</v>
      </c>
      <c r="F59" s="41"/>
      <c r="G59" s="41"/>
      <c r="H59" s="41"/>
      <c r="I59" s="41"/>
    </row>
    <row r="60" spans="2:19">
      <c r="B60" s="41" t="s">
        <v>98</v>
      </c>
      <c r="C60" s="41" t="s">
        <v>446</v>
      </c>
      <c r="D60" s="65"/>
      <c r="E60" s="41" t="s">
        <v>98</v>
      </c>
      <c r="F60" s="41"/>
      <c r="G60" s="41"/>
      <c r="H60" s="41"/>
      <c r="I60" s="41"/>
    </row>
    <row r="61" spans="2:19">
      <c r="B61" s="41" t="s">
        <v>97</v>
      </c>
      <c r="C61" s="33">
        <v>558000</v>
      </c>
      <c r="D61" s="65"/>
      <c r="E61" s="41" t="s">
        <v>97</v>
      </c>
      <c r="F61" s="33"/>
      <c r="G61" s="33"/>
      <c r="H61" s="33"/>
      <c r="I61" s="33"/>
    </row>
    <row r="62" spans="2:19">
      <c r="B62" s="41" t="s">
        <v>96</v>
      </c>
      <c r="C62" s="33">
        <v>558000</v>
      </c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11" priority="1" operator="equal">
      <formula>"FAIL"</formula>
    </cfRule>
    <cfRule type="cellIs" dxfId="10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A81B-8699-B346-BAAF-58DDA678A56A}">
  <sheetPr codeName="Sheet8"/>
  <dimension ref="A1:U62"/>
  <sheetViews>
    <sheetView topLeftCell="E1" zoomScaleNormal="100" workbookViewId="0">
      <selection activeCell="C48" sqref="C48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102"/>
      <c r="C3" s="75"/>
      <c r="D3" s="75"/>
      <c r="E3" s="75"/>
      <c r="F3" s="102" t="s">
        <v>449</v>
      </c>
      <c r="G3" s="103" t="s">
        <v>450</v>
      </c>
      <c r="H3" s="102" t="s">
        <v>451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/>
      <c r="D4" s="22"/>
      <c r="E4" s="22"/>
      <c r="F4" s="22">
        <v>21000</v>
      </c>
      <c r="G4" s="22">
        <v>38000</v>
      </c>
      <c r="H4" s="22">
        <v>22000</v>
      </c>
      <c r="I4" s="108">
        <f>SUM(B4:H4)</f>
        <v>81000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/>
      <c r="C5" s="22"/>
      <c r="D5" s="22"/>
      <c r="E5" s="22"/>
      <c r="F5" s="110">
        <v>19700</v>
      </c>
      <c r="G5" s="22">
        <v>36120</v>
      </c>
      <c r="H5" s="22">
        <v>21600</v>
      </c>
      <c r="I5" s="108">
        <f>SUM(B5:H5)</f>
        <v>77420</v>
      </c>
      <c r="K5" s="51" t="s">
        <v>226</v>
      </c>
      <c r="L5" s="109" t="s">
        <v>492</v>
      </c>
      <c r="M5" s="51" t="s">
        <v>160</v>
      </c>
      <c r="N5" s="51" t="s">
        <v>188</v>
      </c>
      <c r="O5" s="51" t="s">
        <v>225</v>
      </c>
      <c r="P5" s="126">
        <v>145640</v>
      </c>
      <c r="Q5" s="22">
        <v>5000</v>
      </c>
      <c r="R5" s="61">
        <f>P5-Q5</f>
        <v>140640</v>
      </c>
      <c r="S5" s="61">
        <f t="shared" si="1"/>
        <v>141000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492</v>
      </c>
      <c r="M6" s="51" t="s">
        <v>160</v>
      </c>
      <c r="N6" s="51" t="s">
        <v>188</v>
      </c>
      <c r="O6" s="51" t="s">
        <v>223</v>
      </c>
      <c r="P6" s="126">
        <v>27470</v>
      </c>
      <c r="Q6" s="22">
        <v>2747</v>
      </c>
      <c r="R6" s="61">
        <f t="shared" si="0"/>
        <v>24723</v>
      </c>
      <c r="S6" s="61">
        <f t="shared" si="1"/>
        <v>25000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81000</v>
      </c>
      <c r="H7" s="94">
        <f>SUM(B5:H5)</f>
        <v>77420</v>
      </c>
      <c r="I7" s="93">
        <f>I4-I5</f>
        <v>3580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143056</v>
      </c>
      <c r="Q7" s="22">
        <v>5000</v>
      </c>
      <c r="R7" s="61">
        <f>P7-Q7</f>
        <v>138056</v>
      </c>
      <c r="S7" s="61">
        <f t="shared" si="1"/>
        <v>139000</v>
      </c>
      <c r="T7" s="51"/>
    </row>
    <row r="8" spans="1:20">
      <c r="A8" s="51"/>
      <c r="B8" s="75" t="s">
        <v>452</v>
      </c>
      <c r="C8" s="102" t="s">
        <v>453</v>
      </c>
      <c r="D8" s="75" t="s">
        <v>454</v>
      </c>
      <c r="E8" s="75" t="s">
        <v>455</v>
      </c>
      <c r="F8" s="75" t="s">
        <v>456</v>
      </c>
      <c r="G8" s="103" t="s">
        <v>457</v>
      </c>
      <c r="H8" s="102" t="s">
        <v>458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53620</v>
      </c>
      <c r="Q8" s="22">
        <v>5000</v>
      </c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22000</v>
      </c>
      <c r="C9" s="22">
        <v>31000</v>
      </c>
      <c r="D9" s="22">
        <v>22000</v>
      </c>
      <c r="E9" s="22">
        <v>10000</v>
      </c>
      <c r="F9" s="22">
        <v>54000</v>
      </c>
      <c r="G9" s="22">
        <v>25000</v>
      </c>
      <c r="H9" s="22">
        <v>149000</v>
      </c>
      <c r="I9" s="108">
        <f>SUM(B9:H9)</f>
        <v>313000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21200</v>
      </c>
      <c r="C10" s="22">
        <v>30330</v>
      </c>
      <c r="D10" s="22">
        <v>21400</v>
      </c>
      <c r="E10" s="22">
        <v>9800</v>
      </c>
      <c r="F10" s="22">
        <v>52200</v>
      </c>
      <c r="G10" s="22">
        <v>23670</v>
      </c>
      <c r="H10" s="22">
        <v>148100</v>
      </c>
      <c r="I10" s="108">
        <f>SUM(B10:H10)</f>
        <v>306700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31">
        <v>16500</v>
      </c>
      <c r="Q10" s="22">
        <v>1650</v>
      </c>
      <c r="R10" s="61">
        <f t="shared" si="0"/>
        <v>14850</v>
      </c>
      <c r="S10" s="61">
        <f t="shared" si="1"/>
        <v>15000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486</v>
      </c>
      <c r="M11" s="51" t="s">
        <v>202</v>
      </c>
      <c r="N11" s="51" t="s">
        <v>188</v>
      </c>
      <c r="O11" s="51" t="s">
        <v>201</v>
      </c>
      <c r="P11" s="126">
        <v>55000</v>
      </c>
      <c r="Q11" s="22"/>
      <c r="R11" s="61">
        <f t="shared" si="0"/>
        <v>55000</v>
      </c>
      <c r="S11" s="61">
        <f t="shared" si="1"/>
        <v>55000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394000</v>
      </c>
      <c r="H12" s="94">
        <f>SUM(H7,B10:H10)</f>
        <v>384120</v>
      </c>
      <c r="I12" s="93">
        <f>I9-I10</f>
        <v>6300</v>
      </c>
      <c r="K12" s="51"/>
      <c r="L12" s="51" t="s">
        <v>487</v>
      </c>
      <c r="M12" s="51" t="s">
        <v>200</v>
      </c>
      <c r="N12" s="51" t="s">
        <v>188</v>
      </c>
      <c r="O12" s="51" t="s">
        <v>199</v>
      </c>
      <c r="P12" s="126">
        <v>34170</v>
      </c>
      <c r="Q12" s="22"/>
      <c r="R12" s="61">
        <f t="shared" si="0"/>
        <v>34170</v>
      </c>
      <c r="S12" s="61">
        <f t="shared" si="1"/>
        <v>35000</v>
      </c>
      <c r="T12" s="51"/>
    </row>
    <row r="13" spans="1:20">
      <c r="B13" s="75" t="s">
        <v>459</v>
      </c>
      <c r="C13" s="75" t="s">
        <v>460</v>
      </c>
      <c r="D13" s="75" t="s">
        <v>461</v>
      </c>
      <c r="E13" s="75" t="s">
        <v>462</v>
      </c>
      <c r="F13" s="75" t="s">
        <v>463</v>
      </c>
      <c r="G13" s="103" t="s">
        <v>464</v>
      </c>
      <c r="H13" s="102" t="s">
        <v>465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11795</v>
      </c>
      <c r="Q13" s="22"/>
      <c r="R13" s="61">
        <f t="shared" si="0"/>
        <v>11795</v>
      </c>
      <c r="S13" s="61">
        <f t="shared" si="1"/>
        <v>12000</v>
      </c>
      <c r="T13" s="51"/>
    </row>
    <row r="14" spans="1:20">
      <c r="A14" s="51" t="s">
        <v>149</v>
      </c>
      <c r="B14" s="22">
        <v>27000</v>
      </c>
      <c r="C14" s="22">
        <f>17000+101000</f>
        <v>118000</v>
      </c>
      <c r="D14" s="22">
        <v>27000</v>
      </c>
      <c r="E14" s="22">
        <v>58000</v>
      </c>
      <c r="F14" s="22">
        <v>28000</v>
      </c>
      <c r="G14" s="22">
        <v>17000</v>
      </c>
      <c r="H14" s="22">
        <v>15000</v>
      </c>
      <c r="I14" s="107">
        <f>SUM(B14:H14)</f>
        <v>290000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15214</v>
      </c>
      <c r="Q14" s="22"/>
      <c r="R14" s="61">
        <f t="shared" si="0"/>
        <v>15214</v>
      </c>
      <c r="S14" s="61">
        <f t="shared" si="1"/>
        <v>16000</v>
      </c>
      <c r="T14" s="51"/>
    </row>
    <row r="15" spans="1:20">
      <c r="A15" s="51" t="s">
        <v>96</v>
      </c>
      <c r="B15" s="22">
        <v>25400</v>
      </c>
      <c r="C15" s="22">
        <f>17000+82190</f>
        <v>99190</v>
      </c>
      <c r="D15" s="22">
        <v>26100</v>
      </c>
      <c r="E15" s="22">
        <v>57400</v>
      </c>
      <c r="F15" s="22">
        <v>27900</v>
      </c>
      <c r="G15" s="22">
        <v>15800</v>
      </c>
      <c r="H15" s="22">
        <v>14790</v>
      </c>
      <c r="I15" s="107">
        <f>SUM(B15:H15)</f>
        <v>266580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11795</v>
      </c>
      <c r="Q15" s="22"/>
      <c r="R15" s="61">
        <f t="shared" si="0"/>
        <v>11795</v>
      </c>
      <c r="S15" s="61">
        <f t="shared" si="1"/>
        <v>12000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684000</v>
      </c>
      <c r="H17" s="94">
        <f>SUM(H12,B15:H15)</f>
        <v>650700</v>
      </c>
      <c r="I17" s="93">
        <f>I14-I15</f>
        <v>23420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75" t="s">
        <v>466</v>
      </c>
      <c r="C18" s="75" t="s">
        <v>467</v>
      </c>
      <c r="D18" s="75" t="s">
        <v>468</v>
      </c>
      <c r="E18" s="75" t="s">
        <v>469</v>
      </c>
      <c r="F18" s="75" t="s">
        <v>470</v>
      </c>
      <c r="G18" s="103" t="s">
        <v>471</v>
      </c>
      <c r="H18" s="102" t="s">
        <v>472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10350</v>
      </c>
      <c r="Q18" s="22"/>
      <c r="R18" s="61">
        <f t="shared" si="0"/>
        <v>10350</v>
      </c>
      <c r="S18" s="61">
        <f t="shared" si="1"/>
        <v>11000</v>
      </c>
      <c r="T18" s="51"/>
    </row>
    <row r="19" spans="1:21">
      <c r="A19" s="51" t="s">
        <v>149</v>
      </c>
      <c r="B19" s="22">
        <v>14000</v>
      </c>
      <c r="C19" s="22">
        <v>16000</v>
      </c>
      <c r="D19" s="22">
        <v>107000</v>
      </c>
      <c r="E19" s="22">
        <v>37000</v>
      </c>
      <c r="F19" s="22">
        <v>58000</v>
      </c>
      <c r="G19" s="22">
        <v>11000</v>
      </c>
      <c r="H19" s="22">
        <v>17000</v>
      </c>
      <c r="I19" s="105">
        <f>SUM(B19:H19)</f>
        <v>260000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8900</v>
      </c>
      <c r="Q19" s="22">
        <f>8900-2582</f>
        <v>6318</v>
      </c>
      <c r="R19" s="61">
        <f t="shared" si="0"/>
        <v>2582</v>
      </c>
      <c r="S19" s="61">
        <f t="shared" si="1"/>
        <v>3000</v>
      </c>
      <c r="T19" s="51"/>
    </row>
    <row r="20" spans="1:21">
      <c r="A20" s="51" t="s">
        <v>96</v>
      </c>
      <c r="B20" s="22">
        <v>13100</v>
      </c>
      <c r="C20" s="22">
        <v>16000</v>
      </c>
      <c r="D20" s="22">
        <v>105785</v>
      </c>
      <c r="E20" s="22">
        <v>37000</v>
      </c>
      <c r="F20" s="22">
        <v>57500</v>
      </c>
      <c r="G20" s="22">
        <v>10500</v>
      </c>
      <c r="H20" s="22">
        <v>16200</v>
      </c>
      <c r="I20" s="105">
        <f>SUM(B20:H20)</f>
        <v>256085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v>4191</v>
      </c>
      <c r="R20" s="61">
        <f t="shared" si="0"/>
        <v>709</v>
      </c>
      <c r="S20" s="61">
        <f t="shared" si="1"/>
        <v>1000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944000</v>
      </c>
      <c r="H22" s="94">
        <f>SUM(H17,B20:H20)</f>
        <v>906785</v>
      </c>
      <c r="I22" s="93">
        <f>I19-I20</f>
        <v>3915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480</v>
      </c>
    </row>
    <row r="23" spans="1:21">
      <c r="B23" s="102" t="s">
        <v>473</v>
      </c>
      <c r="C23" s="75" t="s">
        <v>474</v>
      </c>
      <c r="D23" s="75" t="s">
        <v>475</v>
      </c>
      <c r="E23" s="75" t="s">
        <v>476</v>
      </c>
      <c r="F23" s="75" t="s">
        <v>477</v>
      </c>
      <c r="G23" s="103" t="s">
        <v>478</v>
      </c>
      <c r="H23" s="102" t="s">
        <v>479</v>
      </c>
      <c r="I23" s="98" t="s">
        <v>28</v>
      </c>
      <c r="K23" s="51"/>
      <c r="L23" s="51" t="s">
        <v>482</v>
      </c>
      <c r="M23" s="51" t="s">
        <v>160</v>
      </c>
      <c r="N23" s="51" t="s">
        <v>433</v>
      </c>
      <c r="O23" s="51" t="s">
        <v>483</v>
      </c>
      <c r="P23" s="126">
        <v>12020</v>
      </c>
      <c r="Q23" s="22"/>
      <c r="R23" s="61">
        <f t="shared" si="0"/>
        <v>12020</v>
      </c>
      <c r="S23" s="61">
        <f t="shared" si="1"/>
        <v>13000</v>
      </c>
      <c r="T23" s="41" t="s">
        <v>481</v>
      </c>
    </row>
    <row r="24" spans="1:21">
      <c r="A24" s="51" t="s">
        <v>149</v>
      </c>
      <c r="B24" s="22">
        <v>44000</v>
      </c>
      <c r="C24" s="22">
        <v>43000</v>
      </c>
      <c r="D24" s="22">
        <v>24000</v>
      </c>
      <c r="E24" s="22">
        <v>2000</v>
      </c>
      <c r="F24" s="22">
        <v>26000</v>
      </c>
      <c r="G24" s="22">
        <v>75000</v>
      </c>
      <c r="H24" s="22">
        <v>39000</v>
      </c>
      <c r="I24" s="100">
        <f>SUM(B24:H24)</f>
        <v>253000</v>
      </c>
      <c r="K24" s="51" t="s">
        <v>28</v>
      </c>
      <c r="L24" s="51"/>
      <c r="M24" s="51"/>
      <c r="N24" s="51"/>
      <c r="O24" s="51"/>
      <c r="P24" s="61">
        <f>SUM(P4:P23)</f>
        <v>1218310</v>
      </c>
      <c r="Q24" s="22"/>
      <c r="R24" s="61">
        <f>SUM(R4:R23)</f>
        <v>1179404</v>
      </c>
      <c r="S24" s="61">
        <f t="shared" si="1"/>
        <v>1180000</v>
      </c>
      <c r="T24" s="51"/>
    </row>
    <row r="25" spans="1:21">
      <c r="A25" s="51" t="s">
        <v>96</v>
      </c>
      <c r="B25" s="22">
        <v>43260</v>
      </c>
      <c r="C25" s="22">
        <v>42170</v>
      </c>
      <c r="D25" s="22">
        <v>23500</v>
      </c>
      <c r="E25" s="22">
        <v>1950</v>
      </c>
      <c r="F25" s="22">
        <v>24000</v>
      </c>
      <c r="G25" s="22">
        <v>74400</v>
      </c>
      <c r="H25" s="22">
        <v>36750</v>
      </c>
      <c r="I25" s="100">
        <f>SUM(B25:H25)</f>
        <v>246030</v>
      </c>
      <c r="P25" t="s">
        <v>362</v>
      </c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46172</v>
      </c>
      <c r="M26" s="95" t="s">
        <v>244</v>
      </c>
      <c r="P26" t="s">
        <v>356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1197000</v>
      </c>
      <c r="H27" s="94">
        <f>SUM(H22,B25:H25)</f>
        <v>1152815</v>
      </c>
      <c r="I27" s="93">
        <f>I24-I25</f>
        <v>6970</v>
      </c>
      <c r="P27" t="s">
        <v>357</v>
      </c>
    </row>
    <row r="28" spans="1:21">
      <c r="K28" s="66" t="s">
        <v>126</v>
      </c>
      <c r="O28" s="66" t="s">
        <v>358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80000</v>
      </c>
      <c r="C30" s="51" t="s">
        <v>97</v>
      </c>
      <c r="D30" s="91">
        <f>IFERROR(SUM(B4:H4)/A30,0)</f>
        <v>1.0125</v>
      </c>
      <c r="E30" s="91">
        <f>IFERROR((SUM(B9:H9))/A31,0)</f>
        <v>1.7388888888888889</v>
      </c>
      <c r="F30" s="91">
        <f>IFERROR((SUM(B14:H14)-J46)/A32,0)</f>
        <v>1.4222222222222223</v>
      </c>
      <c r="G30" s="91">
        <f>IFERROR((SUM(B19:H19)-J46)/A33,0)</f>
        <v>1.2555555555555555</v>
      </c>
      <c r="H30" s="91">
        <f>IFERROR((SUM(B24:H24)-K46)/A34,0)</f>
        <v>1.3333333333333333</v>
      </c>
      <c r="I30" s="61">
        <f>SUM(I7,I12,I17,I22,I27)</f>
        <v>44185</v>
      </c>
      <c r="K30" s="51" t="s">
        <v>135</v>
      </c>
      <c r="L30" s="51" t="s">
        <v>130</v>
      </c>
      <c r="M30" s="149">
        <v>150000</v>
      </c>
      <c r="O30" s="51" t="s">
        <v>360</v>
      </c>
      <c r="P30" s="149">
        <v>120000</v>
      </c>
      <c r="Q30" s="61">
        <f>ROUNDUP(P30,-3)</f>
        <v>120000</v>
      </c>
      <c r="S30" s="51" t="s">
        <v>115</v>
      </c>
      <c r="T30" s="140">
        <v>200000</v>
      </c>
      <c r="U30" s="148">
        <f>ROUNDUP(T30,-3)</f>
        <v>200000</v>
      </c>
    </row>
    <row r="31" spans="1:21">
      <c r="A31" s="22">
        <v>180000</v>
      </c>
      <c r="B31" s="2"/>
      <c r="C31" s="51" t="s">
        <v>96</v>
      </c>
      <c r="D31" s="91">
        <f>IFERROR(SUM(B5:H5)/A30,0)</f>
        <v>0.96775</v>
      </c>
      <c r="E31" s="91">
        <f>IFERROR((SUM(B10:H10))/A31,0)</f>
        <v>1.7038888888888888</v>
      </c>
      <c r="F31" s="91">
        <f>IFERROR((SUM(B15:H15)-J47)/A32,0)</f>
        <v>1.2915555555555556</v>
      </c>
      <c r="G31" s="91">
        <f>IFERROR((SUM(B20:H20)-J47)/A33,0)</f>
        <v>1.23325</v>
      </c>
      <c r="H31" s="91">
        <f>IFERROR((SUM(B25:H25)-K47)/A34,0)</f>
        <v>1.2946111111111112</v>
      </c>
      <c r="I31" s="41" t="s">
        <v>134</v>
      </c>
      <c r="K31" s="51" t="s">
        <v>133</v>
      </c>
      <c r="L31" s="51" t="s">
        <v>130</v>
      </c>
      <c r="M31" s="149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180000</v>
      </c>
      <c r="B32" s="2"/>
      <c r="C32" s="51" t="s">
        <v>132</v>
      </c>
      <c r="D32" s="90">
        <f>A30-SUM(B5:H5)</f>
        <v>2580</v>
      </c>
      <c r="E32" s="90">
        <f>A31-SUM(B10:H10)</f>
        <v>-126700</v>
      </c>
      <c r="F32" s="90">
        <f>A32-SUM(B15:H15)</f>
        <v>-86580</v>
      </c>
      <c r="G32" s="90">
        <f>A33-SUM(B20:H20)</f>
        <v>-76085</v>
      </c>
      <c r="H32" s="90">
        <f>A34-SUM(B25:H25)</f>
        <v>-66030</v>
      </c>
      <c r="I32" s="61">
        <f>G27-H27</f>
        <v>44185</v>
      </c>
      <c r="K32" s="51" t="s">
        <v>131</v>
      </c>
      <c r="L32" s="51" t="s">
        <v>130</v>
      </c>
      <c r="M32" s="149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180000</v>
      </c>
      <c r="B33" s="2"/>
      <c r="C33" s="51" t="s">
        <v>129</v>
      </c>
      <c r="D33" s="89">
        <f>D32</f>
        <v>2580</v>
      </c>
      <c r="E33" s="89">
        <f>D33+E32</f>
        <v>-124120</v>
      </c>
      <c r="F33" s="89">
        <f>E33+F32</f>
        <v>-210700</v>
      </c>
      <c r="G33" s="89">
        <f>F33+G32</f>
        <v>-286785</v>
      </c>
      <c r="H33" s="89">
        <f>G33+H32</f>
        <v>-352815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180000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>
        <v>200000</v>
      </c>
      <c r="U34" s="148">
        <f>ROUNDUP(T34,-3)</f>
        <v>200000</v>
      </c>
    </row>
    <row r="35" spans="1:21">
      <c r="A35" s="85">
        <f>SUM(A30:A34)</f>
        <v>800000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304</v>
      </c>
      <c r="L35" s="41" t="s">
        <v>28</v>
      </c>
      <c r="M35" s="22" t="s">
        <v>121</v>
      </c>
      <c r="N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1197000</v>
      </c>
      <c r="D36" s="61">
        <f>S24</f>
        <v>1180000</v>
      </c>
      <c r="E36" s="61">
        <f>SUM(M30:M32)</f>
        <v>190000</v>
      </c>
      <c r="F36" s="61">
        <f>U34</f>
        <v>200000</v>
      </c>
      <c r="G36" s="61">
        <f>U30</f>
        <v>200000</v>
      </c>
      <c r="H36" s="61">
        <f>Q33</f>
        <v>120000</v>
      </c>
      <c r="I36" s="61">
        <f>U40</f>
        <v>0</v>
      </c>
      <c r="J36" s="61">
        <f>S53</f>
        <v>0</v>
      </c>
      <c r="K36" s="22">
        <f>SUM(J46:P46)</f>
        <v>47000</v>
      </c>
      <c r="L36" s="61">
        <f>SUM(C36:J36)-K36</f>
        <v>3040000</v>
      </c>
      <c r="M36" s="33" t="s">
        <v>120</v>
      </c>
      <c r="N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1152815</v>
      </c>
      <c r="D37" s="61">
        <f>R24</f>
        <v>1179404</v>
      </c>
      <c r="E37" s="61">
        <f>SUM(M30:M32)</f>
        <v>190000</v>
      </c>
      <c r="F37" s="22">
        <f>T34</f>
        <v>200000</v>
      </c>
      <c r="G37" s="22">
        <f>T30</f>
        <v>200000</v>
      </c>
      <c r="H37" s="61">
        <f>P33</f>
        <v>120000</v>
      </c>
      <c r="I37" s="22">
        <f>T40</f>
        <v>0</v>
      </c>
      <c r="J37" s="22">
        <f>S54</f>
        <v>0</v>
      </c>
      <c r="K37" s="22">
        <f>SUM(J47:P47)</f>
        <v>47100</v>
      </c>
      <c r="L37" s="61">
        <f>SUM(C37:J37)-K37</f>
        <v>2995119</v>
      </c>
      <c r="M37" s="33" t="s">
        <v>118</v>
      </c>
      <c r="N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M38" s="33" t="s">
        <v>115</v>
      </c>
      <c r="N38" s="22">
        <v>200000</v>
      </c>
      <c r="P38" s="51" t="s">
        <v>360</v>
      </c>
      <c r="Q38" s="22">
        <v>120000</v>
      </c>
      <c r="S38" s="51"/>
      <c r="T38" s="22"/>
      <c r="U38" s="61">
        <f>ROUNDUP(T38,-3)</f>
        <v>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0</v>
      </c>
      <c r="U40" s="81">
        <f>SUM(U38:U39)</f>
        <v>0</v>
      </c>
    </row>
    <row r="41" spans="1:21">
      <c r="B41" s="79" t="s">
        <v>97</v>
      </c>
      <c r="C41" s="22">
        <f>C42</f>
        <v>2835740</v>
      </c>
      <c r="D41" s="61">
        <f>L36</f>
        <v>3040000</v>
      </c>
      <c r="E41" s="145">
        <f>C41-D41</f>
        <v>-204260</v>
      </c>
      <c r="F41" s="77" t="str">
        <f>IF(E41&gt;0,"SUCCESS","FAIL")</f>
        <v>FAIL</v>
      </c>
      <c r="H41" s="61">
        <f>C36-C37</f>
        <v>44185</v>
      </c>
      <c r="I41" s="61">
        <f>SUM(I7,I12,I17,I22,I27)</f>
        <v>44185</v>
      </c>
      <c r="J41" s="80" t="b">
        <f>IF(H41=I41,TRUE,FALSE)</f>
        <v>1</v>
      </c>
      <c r="P41" s="81" t="s">
        <v>28</v>
      </c>
      <c r="Q41" s="81">
        <f>SUM(Q38:Q40)</f>
        <v>270000</v>
      </c>
      <c r="S41" s="1" t="s">
        <v>489</v>
      </c>
    </row>
    <row r="42" spans="1:21">
      <c r="B42" s="79" t="s">
        <v>96</v>
      </c>
      <c r="C42" s="22">
        <f>SUM(C47:C49)</f>
        <v>2835740</v>
      </c>
      <c r="D42" s="61">
        <f>L37</f>
        <v>2995119</v>
      </c>
      <c r="E42" s="145">
        <f>C42-D42</f>
        <v>-159379</v>
      </c>
      <c r="F42" s="77" t="str">
        <f>IF(E42&gt;0,"SUCCESS","FAIL")</f>
        <v>FAIL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</row>
    <row r="44" spans="1:21">
      <c r="I44" s="41" t="s">
        <v>99</v>
      </c>
      <c r="J44" s="75">
        <v>46162</v>
      </c>
      <c r="K44" s="41" t="s">
        <v>495</v>
      </c>
      <c r="L44" s="41"/>
      <c r="M44" s="41"/>
      <c r="N44" s="41"/>
      <c r="O44" s="41"/>
      <c r="P44" s="41"/>
    </row>
    <row r="45" spans="1:21" ht="19.8" thickBot="1">
      <c r="B45" t="s">
        <v>109</v>
      </c>
      <c r="E45" s="111" t="s">
        <v>311</v>
      </c>
      <c r="I45" s="41" t="s">
        <v>98</v>
      </c>
      <c r="J45" s="41" t="s">
        <v>494</v>
      </c>
      <c r="K45" s="41" t="s">
        <v>496</v>
      </c>
      <c r="L45" s="41"/>
      <c r="M45" s="41"/>
      <c r="N45" s="41"/>
      <c r="O45" s="41"/>
      <c r="P45" s="41"/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v>34000</v>
      </c>
      <c r="K46" s="33">
        <v>13000</v>
      </c>
      <c r="L46" s="33"/>
      <c r="M46" s="33"/>
      <c r="N46" s="33"/>
      <c r="O46" s="33"/>
      <c r="P46" s="33"/>
    </row>
    <row r="47" spans="1:21" ht="19.8" thickBot="1">
      <c r="B47" s="51" t="s">
        <v>104</v>
      </c>
      <c r="C47" s="22">
        <v>2785740</v>
      </c>
      <c r="E47" s="70">
        <f>C36</f>
        <v>1197000</v>
      </c>
      <c r="F47" s="69">
        <f>'[1]5월'!$W$12</f>
        <v>1197000</v>
      </c>
      <c r="G47" s="68" t="b">
        <f>IF(G27='[1]5월'!$W$12,TRUE,FALSE)</f>
        <v>1</v>
      </c>
      <c r="I47" s="41" t="s">
        <v>96</v>
      </c>
      <c r="J47" s="33">
        <f>12100+12800+5300+3900</f>
        <v>34100</v>
      </c>
      <c r="K47" s="33">
        <v>13000</v>
      </c>
      <c r="L47" s="33"/>
      <c r="M47" s="33"/>
      <c r="N47" s="33"/>
      <c r="O47" s="33"/>
      <c r="P47" s="33"/>
    </row>
    <row r="48" spans="1:21">
      <c r="B48" s="51" t="s">
        <v>100</v>
      </c>
      <c r="C48" s="22">
        <v>50000</v>
      </c>
    </row>
    <row r="49" spans="2:19">
      <c r="B49" s="51" t="s">
        <v>103</v>
      </c>
      <c r="C49" s="141">
        <v>0</v>
      </c>
    </row>
    <row r="50" spans="2:19">
      <c r="I50" s="2"/>
    </row>
    <row r="52" spans="2:19">
      <c r="B52" s="66" t="s">
        <v>16</v>
      </c>
      <c r="C52" s="2"/>
      <c r="D52" s="2"/>
      <c r="E52" s="2"/>
      <c r="F52" s="2"/>
      <c r="R52" s="66" t="s">
        <v>102</v>
      </c>
      <c r="S52" s="2"/>
    </row>
    <row r="53" spans="2:19">
      <c r="B53" s="41" t="s">
        <v>99</v>
      </c>
      <c r="C53" s="41"/>
      <c r="D53" s="41"/>
      <c r="E53" s="41"/>
      <c r="F53" s="41"/>
      <c r="G53" s="41"/>
      <c r="H53" s="41"/>
      <c r="I53" s="41"/>
      <c r="J53" s="41"/>
      <c r="K53" s="49"/>
      <c r="L53" s="146"/>
      <c r="M53" s="146"/>
      <c r="N53" s="146"/>
      <c r="O53" s="146"/>
      <c r="R53" s="41" t="s">
        <v>97</v>
      </c>
      <c r="S53" s="33">
        <f>SUM(C55:O55)-SUM(C61)</f>
        <v>0</v>
      </c>
    </row>
    <row r="54" spans="2:19">
      <c r="B54" s="41" t="s">
        <v>98</v>
      </c>
      <c r="C54" s="41"/>
      <c r="D54" s="41"/>
      <c r="E54" s="41"/>
      <c r="F54" s="41"/>
      <c r="G54" s="41"/>
      <c r="H54" s="41"/>
      <c r="I54" s="41"/>
      <c r="J54" s="41"/>
      <c r="K54" s="49"/>
      <c r="L54" s="2"/>
      <c r="M54" s="2"/>
      <c r="N54" s="2"/>
      <c r="O54" s="2"/>
      <c r="R54" s="41" t="s">
        <v>96</v>
      </c>
      <c r="S54" s="33">
        <f>SUM(C56:O56)-SUM(C62:F62)</f>
        <v>0</v>
      </c>
    </row>
    <row r="55" spans="2:19">
      <c r="B55" s="41" t="s">
        <v>97</v>
      </c>
      <c r="C55" s="33"/>
      <c r="D55" s="33"/>
      <c r="E55" s="33"/>
      <c r="F55" s="33"/>
      <c r="G55" s="33"/>
      <c r="H55" s="33"/>
      <c r="I55" s="33"/>
      <c r="J55" s="33"/>
      <c r="K55" s="46"/>
      <c r="L55" s="147"/>
      <c r="M55" s="147"/>
      <c r="N55" s="147"/>
      <c r="O55" s="147"/>
    </row>
    <row r="56" spans="2:19">
      <c r="B56" s="41" t="s">
        <v>96</v>
      </c>
      <c r="C56" s="33"/>
      <c r="D56" s="33"/>
      <c r="E56" s="33"/>
      <c r="F56" s="33"/>
      <c r="G56" s="33"/>
      <c r="H56" s="33"/>
      <c r="I56" s="33"/>
      <c r="J56" s="33"/>
      <c r="K56" s="46"/>
      <c r="L56" s="147"/>
      <c r="M56" s="147"/>
      <c r="N56" s="147"/>
      <c r="O56" s="147"/>
    </row>
    <row r="58" spans="2:19">
      <c r="B58" s="66" t="s">
        <v>101</v>
      </c>
      <c r="C58" s="2"/>
      <c r="D58" s="2"/>
      <c r="E58" s="66" t="s">
        <v>100</v>
      </c>
      <c r="F58" s="2"/>
    </row>
    <row r="59" spans="2:19">
      <c r="B59" s="41" t="s">
        <v>99</v>
      </c>
      <c r="C59" s="75"/>
      <c r="D59" s="65"/>
      <c r="E59" s="41" t="s">
        <v>99</v>
      </c>
      <c r="F59" s="75">
        <v>46147</v>
      </c>
      <c r="G59" s="41"/>
      <c r="H59" s="41"/>
      <c r="I59" s="41"/>
    </row>
    <row r="60" spans="2:19">
      <c r="B60" s="41" t="s">
        <v>98</v>
      </c>
      <c r="C60" s="41"/>
      <c r="D60" s="65"/>
      <c r="E60" s="41" t="s">
        <v>98</v>
      </c>
      <c r="F60" s="41" t="s">
        <v>488</v>
      </c>
      <c r="G60" s="41"/>
      <c r="H60" s="41"/>
      <c r="I60" s="41"/>
    </row>
    <row r="61" spans="2:19">
      <c r="B61" s="41" t="s">
        <v>97</v>
      </c>
      <c r="C61" s="33"/>
      <c r="D61" s="65"/>
      <c r="E61" s="41" t="s">
        <v>97</v>
      </c>
      <c r="F61" s="33">
        <v>50000</v>
      </c>
      <c r="G61" s="33"/>
      <c r="H61" s="33"/>
      <c r="I61" s="33"/>
    </row>
    <row r="62" spans="2:19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9" priority="1" operator="equal">
      <formula>"FAIL"</formula>
    </cfRule>
    <cfRule type="cellIs" dxfId="8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2331-17C7-884F-9BBF-D6A9BE34C062}">
  <sheetPr codeName="Sheet9"/>
  <dimension ref="A1:U62"/>
  <sheetViews>
    <sheetView topLeftCell="B2" zoomScaleNormal="100" workbookViewId="0">
      <selection activeCell="T39" sqref="T39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75" t="s">
        <v>498</v>
      </c>
      <c r="C3" s="75" t="s">
        <v>499</v>
      </c>
      <c r="D3" s="102" t="s">
        <v>500</v>
      </c>
      <c r="E3" s="75" t="s">
        <v>501</v>
      </c>
      <c r="F3" s="75" t="s">
        <v>502</v>
      </c>
      <c r="G3" s="102" t="s">
        <v>504</v>
      </c>
      <c r="H3" s="102" t="s">
        <v>503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>
        <v>11000</v>
      </c>
      <c r="C4" s="22">
        <v>44000</v>
      </c>
      <c r="D4" s="22">
        <v>67000</v>
      </c>
      <c r="E4" s="22">
        <v>17000</v>
      </c>
      <c r="F4" s="22">
        <v>66000</v>
      </c>
      <c r="G4" s="22">
        <v>59000</v>
      </c>
      <c r="H4" s="22">
        <f>5000+4000+12000+5000</f>
        <v>26000</v>
      </c>
      <c r="I4" s="108">
        <f>SUM(B4:H4)</f>
        <v>290000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4" si="1">ROUNDUP(R4,-3)</f>
        <v>550000</v>
      </c>
      <c r="T4" s="51"/>
    </row>
    <row r="5" spans="1:20">
      <c r="A5" s="51" t="s">
        <v>96</v>
      </c>
      <c r="B5" s="22">
        <v>10800</v>
      </c>
      <c r="C5" s="22">
        <v>42500</v>
      </c>
      <c r="D5" s="22">
        <v>66380</v>
      </c>
      <c r="E5" s="22">
        <v>17000</v>
      </c>
      <c r="F5" s="110">
        <v>65500</v>
      </c>
      <c r="G5" s="22">
        <v>58000</v>
      </c>
      <c r="H5" s="22">
        <f>5000+3400+11900+5000</f>
        <v>25300</v>
      </c>
      <c r="I5" s="108">
        <f>SUM(B5:H5)</f>
        <v>285480</v>
      </c>
      <c r="K5" s="51" t="s">
        <v>226</v>
      </c>
      <c r="L5" s="109" t="s">
        <v>497</v>
      </c>
      <c r="M5" s="51" t="s">
        <v>160</v>
      </c>
      <c r="N5" s="51" t="s">
        <v>188</v>
      </c>
      <c r="O5" s="51" t="s">
        <v>225</v>
      </c>
      <c r="P5" s="126">
        <v>148870</v>
      </c>
      <c r="Q5" s="22"/>
      <c r="R5" s="61">
        <f>P5-Q5</f>
        <v>148870</v>
      </c>
      <c r="S5" s="61">
        <f t="shared" si="1"/>
        <v>149000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497</v>
      </c>
      <c r="M6" s="51" t="s">
        <v>160</v>
      </c>
      <c r="N6" s="51" t="s">
        <v>188</v>
      </c>
      <c r="O6" s="51" t="s">
        <v>223</v>
      </c>
      <c r="P6" s="126">
        <v>7650</v>
      </c>
      <c r="Q6" s="22"/>
      <c r="R6" s="61">
        <f t="shared" si="0"/>
        <v>7650</v>
      </c>
      <c r="S6" s="61">
        <f t="shared" si="1"/>
        <v>8000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290000</v>
      </c>
      <c r="H7" s="94">
        <f>SUM(B5:H5)</f>
        <v>285480</v>
      </c>
      <c r="I7" s="93">
        <f>I4-I5</f>
        <v>4520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138056</v>
      </c>
      <c r="Q7" s="22"/>
      <c r="R7" s="61">
        <f>P7-Q7</f>
        <v>138056</v>
      </c>
      <c r="S7" s="61">
        <f t="shared" si="1"/>
        <v>139000</v>
      </c>
      <c r="T7" s="51"/>
    </row>
    <row r="8" spans="1:20">
      <c r="A8" s="51"/>
      <c r="B8" s="75" t="s">
        <v>505</v>
      </c>
      <c r="C8" s="75" t="s">
        <v>506</v>
      </c>
      <c r="D8" s="75" t="s">
        <v>507</v>
      </c>
      <c r="E8" s="75" t="s">
        <v>508</v>
      </c>
      <c r="F8" s="75" t="s">
        <v>509</v>
      </c>
      <c r="G8" s="103" t="s">
        <v>510</v>
      </c>
      <c r="H8" s="102" t="s">
        <v>511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48620</v>
      </c>
      <c r="Q8" s="22"/>
      <c r="R8" s="61">
        <f t="shared" si="0"/>
        <v>48620</v>
      </c>
      <c r="S8" s="61">
        <f t="shared" si="1"/>
        <v>49000</v>
      </c>
      <c r="T8" s="51"/>
    </row>
    <row r="9" spans="1:20">
      <c r="A9" s="51" t="s">
        <v>149</v>
      </c>
      <c r="B9" s="22">
        <v>10000</v>
      </c>
      <c r="C9" s="22">
        <f>9000+35000+11000+6000</f>
        <v>61000</v>
      </c>
      <c r="D9" s="22">
        <v>34000</v>
      </c>
      <c r="E9" s="22">
        <f>8000+4000+1000+10000+6000</f>
        <v>29000</v>
      </c>
      <c r="F9" s="22">
        <f>5000+4000+2000+7000+29000+14000+9000</f>
        <v>70000</v>
      </c>
      <c r="G9" s="22">
        <f>5000+13000+17000+11000+6000</f>
        <v>52000</v>
      </c>
      <c r="H9" s="22">
        <v>43000</v>
      </c>
      <c r="I9" s="108">
        <f>SUM(B9:H9)</f>
        <v>299000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9700</v>
      </c>
      <c r="C10" s="22">
        <v>59610</v>
      </c>
      <c r="D10" s="22">
        <v>31690</v>
      </c>
      <c r="E10" s="22">
        <v>26966</v>
      </c>
      <c r="F10" s="22">
        <v>67700</v>
      </c>
      <c r="G10" s="22">
        <v>50600</v>
      </c>
      <c r="H10" s="22">
        <v>41430</v>
      </c>
      <c r="I10" s="108">
        <f>SUM(B10:H10)</f>
        <v>287696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31">
        <v>16500</v>
      </c>
      <c r="Q10" s="22"/>
      <c r="R10" s="61">
        <f t="shared" si="0"/>
        <v>16500</v>
      </c>
      <c r="S10" s="61">
        <f t="shared" si="1"/>
        <v>17000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531</v>
      </c>
      <c r="M11" s="51" t="s">
        <v>202</v>
      </c>
      <c r="N11" s="51" t="s">
        <v>188</v>
      </c>
      <c r="O11" s="51" t="s">
        <v>201</v>
      </c>
      <c r="P11" s="126">
        <v>56770</v>
      </c>
      <c r="Q11" s="22"/>
      <c r="R11" s="61">
        <f t="shared" si="0"/>
        <v>56770</v>
      </c>
      <c r="S11" s="61">
        <f t="shared" si="1"/>
        <v>57000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589000</v>
      </c>
      <c r="H12" s="94">
        <f>SUM(H7,B10:H10)</f>
        <v>573176</v>
      </c>
      <c r="I12" s="93">
        <f>I9-I10</f>
        <v>11304</v>
      </c>
      <c r="K12" s="51"/>
      <c r="L12" s="51" t="s">
        <v>530</v>
      </c>
      <c r="M12" s="51" t="s">
        <v>200</v>
      </c>
      <c r="N12" s="51" t="s">
        <v>188</v>
      </c>
      <c r="O12" s="51" t="s">
        <v>199</v>
      </c>
      <c r="P12" s="127"/>
      <c r="Q12" s="22"/>
      <c r="R12" s="61">
        <f t="shared" si="0"/>
        <v>0</v>
      </c>
      <c r="S12" s="61">
        <f t="shared" si="1"/>
        <v>0</v>
      </c>
      <c r="T12" s="51"/>
    </row>
    <row r="13" spans="1:20">
      <c r="B13" s="75" t="s">
        <v>512</v>
      </c>
      <c r="C13" s="75" t="s">
        <v>513</v>
      </c>
      <c r="D13" s="75" t="s">
        <v>514</v>
      </c>
      <c r="E13" s="75" t="s">
        <v>515</v>
      </c>
      <c r="F13" s="75" t="s">
        <v>516</v>
      </c>
      <c r="G13" s="103" t="s">
        <v>517</v>
      </c>
      <c r="H13" s="102" t="s">
        <v>518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18295</v>
      </c>
      <c r="Q13" s="22"/>
      <c r="R13" s="61">
        <f t="shared" si="0"/>
        <v>18295</v>
      </c>
      <c r="S13" s="61">
        <f t="shared" si="1"/>
        <v>19000</v>
      </c>
      <c r="T13" s="51"/>
    </row>
    <row r="14" spans="1:20">
      <c r="A14" s="51" t="s">
        <v>149</v>
      </c>
      <c r="B14" s="22">
        <v>12000</v>
      </c>
      <c r="C14" s="22">
        <v>31000</v>
      </c>
      <c r="D14" s="22">
        <v>33000</v>
      </c>
      <c r="E14" s="22">
        <v>26000</v>
      </c>
      <c r="F14" s="22">
        <v>67000</v>
      </c>
      <c r="G14" s="22">
        <v>43000</v>
      </c>
      <c r="H14" s="22">
        <v>80000</v>
      </c>
      <c r="I14" s="107">
        <f>SUM(B14:H14)</f>
        <v>292000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18384</v>
      </c>
      <c r="Q14" s="22"/>
      <c r="R14" s="61">
        <f t="shared" si="0"/>
        <v>18384</v>
      </c>
      <c r="S14" s="61">
        <f t="shared" si="1"/>
        <v>19000</v>
      </c>
      <c r="T14" s="51"/>
    </row>
    <row r="15" spans="1:20">
      <c r="A15" s="51" t="s">
        <v>96</v>
      </c>
      <c r="B15" s="22">
        <v>11100</v>
      </c>
      <c r="C15" s="22">
        <v>29600</v>
      </c>
      <c r="D15" s="22">
        <v>31400</v>
      </c>
      <c r="E15" s="22">
        <v>24500</v>
      </c>
      <c r="F15" s="22">
        <v>64310</v>
      </c>
      <c r="G15" s="22">
        <v>42200</v>
      </c>
      <c r="H15" s="22">
        <v>77659</v>
      </c>
      <c r="I15" s="107">
        <f>SUM(B15:H15)</f>
        <v>280769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8741</v>
      </c>
      <c r="Q15" s="22"/>
      <c r="R15" s="61">
        <f t="shared" si="0"/>
        <v>8741</v>
      </c>
      <c r="S15" s="61">
        <f t="shared" si="1"/>
        <v>9000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881000</v>
      </c>
      <c r="H17" s="94">
        <f>SUM(H12,B15:H15)</f>
        <v>853945</v>
      </c>
      <c r="I17" s="93">
        <f>I14-I15</f>
        <v>11231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75" t="s">
        <v>519</v>
      </c>
      <c r="C18" s="75" t="s">
        <v>520</v>
      </c>
      <c r="D18" s="75" t="s">
        <v>521</v>
      </c>
      <c r="E18" s="75" t="s">
        <v>522</v>
      </c>
      <c r="F18" s="75" t="s">
        <v>523</v>
      </c>
      <c r="G18" s="103" t="s">
        <v>524</v>
      </c>
      <c r="H18" s="102" t="s">
        <v>525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10045</v>
      </c>
      <c r="Q18" s="22"/>
      <c r="R18" s="61">
        <f t="shared" si="0"/>
        <v>10045</v>
      </c>
      <c r="S18" s="61">
        <f t="shared" si="1"/>
        <v>11000</v>
      </c>
      <c r="T18" s="51"/>
    </row>
    <row r="19" spans="1:21">
      <c r="A19" s="51" t="s">
        <v>149</v>
      </c>
      <c r="B19" s="22">
        <v>69000</v>
      </c>
      <c r="C19" s="22">
        <v>51000</v>
      </c>
      <c r="D19" s="22">
        <v>158000</v>
      </c>
      <c r="E19" s="22">
        <v>81000</v>
      </c>
      <c r="F19" s="22">
        <v>23000</v>
      </c>
      <c r="G19" s="22">
        <v>43000</v>
      </c>
      <c r="H19" s="22">
        <v>86000</v>
      </c>
      <c r="I19" s="105">
        <f>SUM(B19:H19)</f>
        <v>511000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7989</v>
      </c>
      <c r="Q19" s="22"/>
      <c r="R19" s="61">
        <f t="shared" si="0"/>
        <v>7989</v>
      </c>
      <c r="S19" s="61">
        <f t="shared" si="1"/>
        <v>8000</v>
      </c>
      <c r="T19" s="51"/>
    </row>
    <row r="20" spans="1:21">
      <c r="A20" s="51" t="s">
        <v>96</v>
      </c>
      <c r="B20" s="22">
        <v>68500</v>
      </c>
      <c r="C20" s="22">
        <v>49570</v>
      </c>
      <c r="D20" s="22">
        <v>155970</v>
      </c>
      <c r="E20" s="22">
        <v>79200</v>
      </c>
      <c r="F20" s="22">
        <v>22110</v>
      </c>
      <c r="G20" s="22">
        <v>42300</v>
      </c>
      <c r="H20" s="22">
        <v>85500</v>
      </c>
      <c r="I20" s="105">
        <f>SUM(B20:H20)</f>
        <v>503150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f>2446+8</f>
        <v>2454</v>
      </c>
      <c r="R20" s="61">
        <f t="shared" si="0"/>
        <v>2446</v>
      </c>
      <c r="S20" s="61">
        <f t="shared" si="1"/>
        <v>3000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18000</v>
      </c>
      <c r="Q21" s="22">
        <v>9000</v>
      </c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1392000</v>
      </c>
      <c r="H22" s="94">
        <f>SUM(H17,B20:H20)</f>
        <v>1357095</v>
      </c>
      <c r="I22" s="93">
        <f>I19-I20</f>
        <v>7850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529</v>
      </c>
    </row>
    <row r="23" spans="1:21">
      <c r="B23" s="75" t="s">
        <v>526</v>
      </c>
      <c r="C23" s="75" t="s">
        <v>527</v>
      </c>
      <c r="D23" s="75"/>
      <c r="E23" s="75"/>
      <c r="F23" s="75"/>
      <c r="G23" s="103"/>
      <c r="H23" s="102"/>
      <c r="I23" s="98" t="s">
        <v>28</v>
      </c>
      <c r="K23" s="51"/>
      <c r="L23" s="51" t="s">
        <v>482</v>
      </c>
      <c r="M23" s="51" t="s">
        <v>160</v>
      </c>
      <c r="N23" s="51" t="s">
        <v>433</v>
      </c>
      <c r="O23" s="51" t="s">
        <v>483</v>
      </c>
      <c r="P23" s="126">
        <v>10200</v>
      </c>
      <c r="Q23" s="22"/>
      <c r="R23" s="61">
        <f t="shared" si="0"/>
        <v>10200</v>
      </c>
      <c r="S23" s="61">
        <f t="shared" si="1"/>
        <v>11000</v>
      </c>
      <c r="T23" s="41" t="s">
        <v>528</v>
      </c>
    </row>
    <row r="24" spans="1:21">
      <c r="A24" s="51" t="s">
        <v>149</v>
      </c>
      <c r="B24" s="22">
        <v>51000</v>
      </c>
      <c r="C24" s="22">
        <v>38000</v>
      </c>
      <c r="D24" s="22"/>
      <c r="E24" s="22"/>
      <c r="F24" s="22"/>
      <c r="G24" s="22"/>
      <c r="H24" s="22"/>
      <c r="I24" s="100">
        <f>SUM(B24:H24)</f>
        <v>89000</v>
      </c>
      <c r="K24" s="51" t="s">
        <v>28</v>
      </c>
      <c r="L24" s="51"/>
      <c r="M24" s="51"/>
      <c r="N24" s="51"/>
      <c r="O24" s="51"/>
      <c r="P24" s="61">
        <f>SUM(P4:P23)</f>
        <v>1162900</v>
      </c>
      <c r="Q24" s="22"/>
      <c r="R24" s="61">
        <f>SUM(R4:R23)</f>
        <v>1151446</v>
      </c>
      <c r="S24" s="61">
        <f t="shared" si="1"/>
        <v>1152000</v>
      </c>
      <c r="T24" s="51"/>
    </row>
    <row r="25" spans="1:21">
      <c r="A25" s="51" t="s">
        <v>96</v>
      </c>
      <c r="B25" s="22">
        <v>47500</v>
      </c>
      <c r="C25" s="22">
        <v>36660</v>
      </c>
      <c r="D25" s="22"/>
      <c r="E25" s="22"/>
      <c r="F25" s="22"/>
      <c r="G25" s="22"/>
      <c r="H25" s="22"/>
      <c r="I25" s="100">
        <f>SUM(B25:H25)</f>
        <v>84160</v>
      </c>
      <c r="P25" t="s">
        <v>362</v>
      </c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46203</v>
      </c>
      <c r="M26" s="95" t="s">
        <v>244</v>
      </c>
      <c r="P26" t="s">
        <v>356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1481000</v>
      </c>
      <c r="H27" s="94">
        <f>SUM(H22,B25:H25)</f>
        <v>1441255</v>
      </c>
      <c r="I27" s="93">
        <f>I24-I25</f>
        <v>4840</v>
      </c>
      <c r="P27" t="s">
        <v>357</v>
      </c>
    </row>
    <row r="28" spans="1:21">
      <c r="K28" s="66" t="s">
        <v>126</v>
      </c>
      <c r="O28" s="66" t="s">
        <v>358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80000</v>
      </c>
      <c r="C30" s="51" t="s">
        <v>97</v>
      </c>
      <c r="D30" s="91">
        <f>IFERROR(SUM(B4:H4)/A30,0)</f>
        <v>3.625</v>
      </c>
      <c r="E30" s="91">
        <f>IFERROR((SUM(B9:H9))/A31,0)</f>
        <v>1.6611111111111112</v>
      </c>
      <c r="F30" s="91">
        <f>IFERROR((SUM(B14:H14)-J46)/A32,0)</f>
        <v>1.6222222222222222</v>
      </c>
      <c r="G30" s="91">
        <f>IFERROR((SUM(B19:H19)-J46)/A33,0)</f>
        <v>2.838888888888889</v>
      </c>
      <c r="H30" s="91">
        <f>IFERROR((SUM(B24:H24)-K46)/A34,0)</f>
        <v>0.49444444444444446</v>
      </c>
      <c r="I30" s="61">
        <f>SUM(I7,I12,I17,I22,I27)</f>
        <v>39745</v>
      </c>
      <c r="K30" s="51" t="s">
        <v>135</v>
      </c>
      <c r="L30" s="51" t="s">
        <v>130</v>
      </c>
      <c r="M30" s="149">
        <v>150000</v>
      </c>
      <c r="O30" s="51" t="s">
        <v>360</v>
      </c>
      <c r="P30" s="149">
        <v>120000</v>
      </c>
      <c r="Q30" s="61">
        <f>ROUNDUP(P30,-3)</f>
        <v>120000</v>
      </c>
      <c r="S30" s="51" t="s">
        <v>115</v>
      </c>
      <c r="T30" s="140">
        <v>200000</v>
      </c>
      <c r="U30" s="148">
        <f>ROUNDUP(T30,-3)</f>
        <v>200000</v>
      </c>
    </row>
    <row r="31" spans="1:21">
      <c r="A31" s="22">
        <v>180000</v>
      </c>
      <c r="B31" s="2"/>
      <c r="C31" s="51" t="s">
        <v>96</v>
      </c>
      <c r="D31" s="91">
        <f>IFERROR(SUM(B5:H5)/A30,0)</f>
        <v>3.5684999999999998</v>
      </c>
      <c r="E31" s="91">
        <f>IFERROR((SUM(B10:H10))/A31,0)</f>
        <v>1.598311111111111</v>
      </c>
      <c r="F31" s="91">
        <f>IFERROR((SUM(B15:H15)-J47)/A32,0)</f>
        <v>1.5598277777777778</v>
      </c>
      <c r="G31" s="91">
        <f>IFERROR((SUM(B20:H20)-J47)/A33,0)</f>
        <v>2.7952777777777778</v>
      </c>
      <c r="H31" s="91">
        <f>IFERROR((SUM(B25:H25)-K47)/A34,0)</f>
        <v>0.46755555555555556</v>
      </c>
      <c r="I31" s="41" t="s">
        <v>134</v>
      </c>
      <c r="K31" s="51" t="s">
        <v>133</v>
      </c>
      <c r="L31" s="51" t="s">
        <v>130</v>
      </c>
      <c r="M31" s="149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180000</v>
      </c>
      <c r="B32" s="2"/>
      <c r="C32" s="51" t="s">
        <v>132</v>
      </c>
      <c r="D32" s="90">
        <f>A30-SUM(B5:H5)</f>
        <v>-205480</v>
      </c>
      <c r="E32" s="90">
        <f>A31-SUM(B10:H10)</f>
        <v>-107696</v>
      </c>
      <c r="F32" s="90">
        <f>A32-SUM(B15:H15)</f>
        <v>-100769</v>
      </c>
      <c r="G32" s="90">
        <f>A33-SUM(B20:H20)</f>
        <v>-323150</v>
      </c>
      <c r="H32" s="90">
        <f>A34-SUM(B25:H25)</f>
        <v>95840</v>
      </c>
      <c r="I32" s="61">
        <f>G27-H27</f>
        <v>39745</v>
      </c>
      <c r="K32" s="51" t="s">
        <v>131</v>
      </c>
      <c r="L32" s="51" t="s">
        <v>130</v>
      </c>
      <c r="M32" s="149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180000</v>
      </c>
      <c r="B33" s="2"/>
      <c r="C33" s="51" t="s">
        <v>129</v>
      </c>
      <c r="D33" s="89">
        <f>D32</f>
        <v>-205480</v>
      </c>
      <c r="E33" s="89">
        <f>D33+E32</f>
        <v>-313176</v>
      </c>
      <c r="F33" s="89">
        <f>E33+F32</f>
        <v>-413945</v>
      </c>
      <c r="G33" s="89">
        <f>F33+G32</f>
        <v>-737095</v>
      </c>
      <c r="H33" s="89">
        <f>G33+H32</f>
        <v>-641255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180000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>
        <v>200000</v>
      </c>
      <c r="U34" s="148">
        <f>ROUNDUP(T34,-3)</f>
        <v>200000</v>
      </c>
    </row>
    <row r="35" spans="1:21">
      <c r="A35" s="85">
        <f>SUM(A30:A34)</f>
        <v>800000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539</v>
      </c>
      <c r="L35" s="41" t="s">
        <v>304</v>
      </c>
      <c r="M35" s="41" t="s">
        <v>28</v>
      </c>
      <c r="N35" s="22" t="s">
        <v>121</v>
      </c>
      <c r="O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1481000</v>
      </c>
      <c r="D36" s="61">
        <f>S24</f>
        <v>1152000</v>
      </c>
      <c r="E36" s="61">
        <f>SUM(M30:M32)</f>
        <v>190000</v>
      </c>
      <c r="F36" s="61">
        <f>U34</f>
        <v>200000</v>
      </c>
      <c r="G36" s="61">
        <f>U30</f>
        <v>200000</v>
      </c>
      <c r="H36" s="61">
        <f>Q33</f>
        <v>120000</v>
      </c>
      <c r="I36" s="61">
        <f>U40</f>
        <v>50000</v>
      </c>
      <c r="J36" s="61">
        <f>S53</f>
        <v>0</v>
      </c>
      <c r="K36" s="61">
        <f>T53</f>
        <v>0</v>
      </c>
      <c r="L36" s="22">
        <f>SUM(J46:P46)</f>
        <v>0</v>
      </c>
      <c r="M36" s="61">
        <f>SUM(C36:K36)-L36</f>
        <v>3393000</v>
      </c>
      <c r="N36" s="33" t="s">
        <v>120</v>
      </c>
      <c r="O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1441255</v>
      </c>
      <c r="D37" s="61">
        <f>R24</f>
        <v>1151446</v>
      </c>
      <c r="E37" s="61">
        <f>SUM(M30:M32)</f>
        <v>190000</v>
      </c>
      <c r="F37" s="22">
        <f>T34</f>
        <v>200000</v>
      </c>
      <c r="G37" s="22">
        <f>T30</f>
        <v>200000</v>
      </c>
      <c r="H37" s="61">
        <f>P33</f>
        <v>120000</v>
      </c>
      <c r="I37" s="22">
        <f>T40</f>
        <v>50000</v>
      </c>
      <c r="J37" s="22">
        <f>S54</f>
        <v>0</v>
      </c>
      <c r="K37" s="22">
        <f>T54</f>
        <v>0</v>
      </c>
      <c r="L37" s="22">
        <f>SUM(J47:P47)</f>
        <v>0</v>
      </c>
      <c r="M37" s="61">
        <f>SUM(C37:K37)-L37</f>
        <v>3352701</v>
      </c>
      <c r="N37" s="33" t="s">
        <v>118</v>
      </c>
      <c r="O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N38" s="33" t="s">
        <v>115</v>
      </c>
      <c r="O38" s="22">
        <v>200000</v>
      </c>
      <c r="P38" s="51" t="s">
        <v>360</v>
      </c>
      <c r="Q38" s="22">
        <v>120000</v>
      </c>
      <c r="S38" s="51" t="s">
        <v>540</v>
      </c>
      <c r="T38" s="22">
        <v>50000</v>
      </c>
      <c r="U38" s="61">
        <f>ROUNDUP(T38,-3)</f>
        <v>50000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50000</v>
      </c>
      <c r="U40" s="81">
        <f>SUM(U38:U39)</f>
        <v>50000</v>
      </c>
    </row>
    <row r="41" spans="1:21">
      <c r="B41" s="79" t="s">
        <v>97</v>
      </c>
      <c r="C41" s="22">
        <f>C42</f>
        <v>2785740</v>
      </c>
      <c r="D41" s="61">
        <f>M36</f>
        <v>3393000</v>
      </c>
      <c r="E41" s="145">
        <f>C41-D41</f>
        <v>-607260</v>
      </c>
      <c r="F41" s="77" t="str">
        <f>IF(E41&gt;0,"SUCCESS","FAIL")</f>
        <v>FAIL</v>
      </c>
      <c r="H41" s="61">
        <f>C36-C37</f>
        <v>39745</v>
      </c>
      <c r="I41" s="61">
        <f>SUM(I7,I12,I17,I22,I27)</f>
        <v>39745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2785740</v>
      </c>
      <c r="D42" s="61">
        <f>M37</f>
        <v>3352701</v>
      </c>
      <c r="E42" s="145">
        <f>C42-D42</f>
        <v>-566961</v>
      </c>
      <c r="F42" s="77" t="str">
        <f>IF(E42&gt;0,"SUCCESS","FAIL")</f>
        <v>FAIL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  <c r="S43" s="66" t="s">
        <v>539</v>
      </c>
      <c r="T43" s="2"/>
      <c r="U43" s="2"/>
    </row>
    <row r="44" spans="1:21">
      <c r="I44" s="41" t="s">
        <v>99</v>
      </c>
      <c r="J44" s="75"/>
      <c r="K44" s="41"/>
      <c r="L44" s="41"/>
      <c r="M44" s="41"/>
      <c r="N44" s="41"/>
      <c r="O44" s="41"/>
      <c r="P44" s="41"/>
      <c r="S44" s="51" t="s">
        <v>98</v>
      </c>
      <c r="T44" s="51" t="s">
        <v>108</v>
      </c>
      <c r="U44" s="41" t="s">
        <v>117</v>
      </c>
    </row>
    <row r="45" spans="1:21" ht="19.8" thickBot="1">
      <c r="B45" t="s">
        <v>109</v>
      </c>
      <c r="E45" s="111" t="s">
        <v>311</v>
      </c>
      <c r="I45" s="41" t="s">
        <v>98</v>
      </c>
      <c r="J45" s="41"/>
      <c r="K45" s="41"/>
      <c r="L45" s="41"/>
      <c r="M45" s="41"/>
      <c r="N45" s="41"/>
      <c r="O45" s="41"/>
      <c r="P45" s="41"/>
      <c r="S45" s="41">
        <v>20260606</v>
      </c>
      <c r="T45" s="33">
        <v>100000</v>
      </c>
      <c r="U45" s="159">
        <f>ROUNDUP(T45,-3)</f>
        <v>100000</v>
      </c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/>
      <c r="K46" s="33"/>
      <c r="L46" s="33"/>
      <c r="M46" s="33"/>
      <c r="N46" s="33"/>
      <c r="O46" s="33"/>
      <c r="P46" s="33"/>
      <c r="S46" s="160"/>
      <c r="T46" s="33"/>
      <c r="U46" s="159">
        <f>ROUNDUP(T46,-3)</f>
        <v>0</v>
      </c>
    </row>
    <row r="47" spans="1:21" ht="19.8" thickBot="1">
      <c r="B47" s="51" t="s">
        <v>104</v>
      </c>
      <c r="C47" s="22">
        <v>2785740</v>
      </c>
      <c r="E47" s="70">
        <f>C36</f>
        <v>1481000</v>
      </c>
      <c r="F47" s="69">
        <f>'[1]6월'!$W$12</f>
        <v>1481000</v>
      </c>
      <c r="G47" s="68" t="b">
        <f>IF(G27='[1]6월'!$W$12,TRUE,FALSE)</f>
        <v>1</v>
      </c>
      <c r="I47" s="41" t="s">
        <v>96</v>
      </c>
      <c r="J47" s="33"/>
      <c r="K47" s="33"/>
      <c r="L47" s="33"/>
      <c r="M47" s="33"/>
      <c r="N47" s="33"/>
      <c r="O47" s="33"/>
      <c r="P47" s="33"/>
      <c r="S47" s="161" t="s">
        <v>28</v>
      </c>
      <c r="T47" s="161">
        <f>SUM(T45:T46)</f>
        <v>100000</v>
      </c>
      <c r="U47" s="161">
        <f>SUM(U45:U46)</f>
        <v>100000</v>
      </c>
    </row>
    <row r="48" spans="1:21">
      <c r="B48" s="51" t="s">
        <v>100</v>
      </c>
      <c r="C48" s="22">
        <v>0</v>
      </c>
    </row>
    <row r="49" spans="2:19">
      <c r="B49" s="51" t="s">
        <v>103</v>
      </c>
      <c r="C49" s="141">
        <v>0</v>
      </c>
    </row>
    <row r="50" spans="2:19">
      <c r="I50" s="2"/>
    </row>
    <row r="52" spans="2:19">
      <c r="B52" s="66" t="s">
        <v>16</v>
      </c>
      <c r="C52" s="2"/>
      <c r="D52" s="2"/>
      <c r="E52" s="2"/>
      <c r="F52" s="2"/>
      <c r="R52" s="66" t="s">
        <v>102</v>
      </c>
      <c r="S52" s="2"/>
    </row>
    <row r="53" spans="2:19">
      <c r="B53" s="41" t="s">
        <v>99</v>
      </c>
      <c r="C53" s="41"/>
      <c r="D53" s="41"/>
      <c r="E53" s="41"/>
      <c r="F53" s="41"/>
      <c r="G53" s="41"/>
      <c r="H53" s="41"/>
      <c r="I53" s="41"/>
      <c r="J53" s="41"/>
      <c r="K53" s="49"/>
      <c r="L53" s="146"/>
      <c r="M53" s="146"/>
      <c r="N53" s="146"/>
      <c r="O53" s="146"/>
      <c r="R53" s="41" t="s">
        <v>97</v>
      </c>
      <c r="S53" s="33">
        <f>SUM(C55:O55)-SUM(C61)</f>
        <v>0</v>
      </c>
    </row>
    <row r="54" spans="2:19">
      <c r="B54" s="41" t="s">
        <v>98</v>
      </c>
      <c r="C54" s="41"/>
      <c r="D54" s="41"/>
      <c r="E54" s="41"/>
      <c r="F54" s="41"/>
      <c r="G54" s="41"/>
      <c r="H54" s="41"/>
      <c r="I54" s="41"/>
      <c r="J54" s="41"/>
      <c r="K54" s="49"/>
      <c r="L54" s="2"/>
      <c r="M54" s="2"/>
      <c r="N54" s="2"/>
      <c r="O54" s="2"/>
      <c r="R54" s="41" t="s">
        <v>96</v>
      </c>
      <c r="S54" s="33">
        <f>SUM(C56:O56)-SUM(C62:F62)</f>
        <v>0</v>
      </c>
    </row>
    <row r="55" spans="2:19">
      <c r="B55" s="41" t="s">
        <v>97</v>
      </c>
      <c r="C55" s="33"/>
      <c r="D55" s="33"/>
      <c r="E55" s="33"/>
      <c r="F55" s="33"/>
      <c r="G55" s="33"/>
      <c r="H55" s="33"/>
      <c r="I55" s="33"/>
      <c r="J55" s="33"/>
      <c r="K55" s="46"/>
      <c r="L55" s="147"/>
      <c r="M55" s="147"/>
      <c r="N55" s="147"/>
      <c r="O55" s="147"/>
    </row>
    <row r="56" spans="2:19">
      <c r="B56" s="41" t="s">
        <v>96</v>
      </c>
      <c r="C56" s="33"/>
      <c r="D56" s="33"/>
      <c r="E56" s="33"/>
      <c r="F56" s="33"/>
      <c r="G56" s="33"/>
      <c r="H56" s="33"/>
      <c r="I56" s="33"/>
      <c r="J56" s="33"/>
      <c r="K56" s="46"/>
      <c r="L56" s="147"/>
      <c r="M56" s="147"/>
      <c r="N56" s="147"/>
      <c r="O56" s="147"/>
    </row>
    <row r="58" spans="2:19">
      <c r="B58" s="66" t="s">
        <v>101</v>
      </c>
      <c r="C58" s="2"/>
      <c r="D58" s="2"/>
      <c r="E58" s="66" t="s">
        <v>100</v>
      </c>
      <c r="F58" s="2"/>
    </row>
    <row r="59" spans="2:19">
      <c r="B59" s="41" t="s">
        <v>99</v>
      </c>
      <c r="C59" s="75"/>
      <c r="D59" s="65"/>
      <c r="E59" s="41" t="s">
        <v>99</v>
      </c>
      <c r="F59" s="75">
        <v>46147</v>
      </c>
      <c r="G59" s="41"/>
      <c r="H59" s="41"/>
      <c r="I59" s="41"/>
    </row>
    <row r="60" spans="2:19">
      <c r="B60" s="41" t="s">
        <v>98</v>
      </c>
      <c r="C60" s="41"/>
      <c r="D60" s="65"/>
      <c r="E60" s="41" t="s">
        <v>98</v>
      </c>
      <c r="F60" s="41" t="s">
        <v>488</v>
      </c>
      <c r="G60" s="41"/>
      <c r="H60" s="41"/>
      <c r="I60" s="41"/>
    </row>
    <row r="61" spans="2:19">
      <c r="B61" s="41" t="s">
        <v>97</v>
      </c>
      <c r="C61" s="33"/>
      <c r="D61" s="65"/>
      <c r="E61" s="41" t="s">
        <v>97</v>
      </c>
      <c r="F61" s="33">
        <v>50000</v>
      </c>
      <c r="G61" s="33"/>
      <c r="H61" s="33"/>
      <c r="I61" s="33"/>
    </row>
    <row r="62" spans="2:19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7" priority="1" operator="equal">
      <formula>"FAIL"</formula>
    </cfRule>
    <cfRule type="cellIs" dxfId="6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C0FA-053F-BF41-A322-6E5EF3E1EDA6}">
  <sheetPr codeName="Sheet11"/>
  <dimension ref="A1:U62"/>
  <sheetViews>
    <sheetView topLeftCell="B1" zoomScaleNormal="100" workbookViewId="0">
      <selection activeCell="T24" sqref="T24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75"/>
      <c r="C3" s="75"/>
      <c r="D3" s="163" t="s">
        <v>543</v>
      </c>
      <c r="E3" s="75" t="s">
        <v>544</v>
      </c>
      <c r="F3" s="75" t="s">
        <v>545</v>
      </c>
      <c r="G3" s="103" t="s">
        <v>546</v>
      </c>
      <c r="H3" s="102" t="s">
        <v>547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/>
      <c r="D4" s="22">
        <v>34000</v>
      </c>
      <c r="E4" s="22">
        <v>49000</v>
      </c>
      <c r="F4" s="22">
        <v>53000</v>
      </c>
      <c r="G4" s="22">
        <v>101000</v>
      </c>
      <c r="H4" s="22">
        <v>25000</v>
      </c>
      <c r="I4" s="108">
        <f>SUM(B4:H4)</f>
        <v>262000</v>
      </c>
      <c r="K4" s="51" t="s">
        <v>228</v>
      </c>
      <c r="L4" s="51"/>
      <c r="M4" s="51" t="s">
        <v>189</v>
      </c>
      <c r="N4" s="51"/>
      <c r="O4" s="51" t="s">
        <v>227</v>
      </c>
      <c r="P4" s="126">
        <v>550000</v>
      </c>
      <c r="Q4" s="22"/>
      <c r="R4" s="61">
        <f t="shared" ref="R4:R23" si="0">P4-Q4</f>
        <v>550000</v>
      </c>
      <c r="S4" s="61">
        <f t="shared" ref="S4:S23" si="1">ROUNDUP(R4,-3)</f>
        <v>550000</v>
      </c>
      <c r="T4" s="51"/>
    </row>
    <row r="5" spans="1:20">
      <c r="A5" s="51" t="s">
        <v>96</v>
      </c>
      <c r="B5" s="22"/>
      <c r="C5" s="22"/>
      <c r="D5" s="22">
        <v>33200</v>
      </c>
      <c r="E5" s="22">
        <v>47600</v>
      </c>
      <c r="F5" s="110">
        <v>51400</v>
      </c>
      <c r="G5" s="22">
        <v>99224</v>
      </c>
      <c r="H5" s="22">
        <v>23800</v>
      </c>
      <c r="I5" s="108">
        <f>SUM(B5:H5)</f>
        <v>255224</v>
      </c>
      <c r="K5" s="51" t="s">
        <v>226</v>
      </c>
      <c r="L5" s="109" t="s">
        <v>541</v>
      </c>
      <c r="M5" s="51" t="s">
        <v>160</v>
      </c>
      <c r="N5" s="51" t="s">
        <v>188</v>
      </c>
      <c r="O5" s="51" t="s">
        <v>225</v>
      </c>
      <c r="P5" s="127"/>
      <c r="Q5" s="22"/>
      <c r="R5" s="61">
        <f>P5-Q5</f>
        <v>0</v>
      </c>
      <c r="S5" s="61">
        <f t="shared" si="1"/>
        <v>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541</v>
      </c>
      <c r="M6" s="51" t="s">
        <v>160</v>
      </c>
      <c r="N6" s="51" t="s">
        <v>188</v>
      </c>
      <c r="O6" s="51" t="s">
        <v>223</v>
      </c>
      <c r="P6" s="101">
        <v>26560</v>
      </c>
      <c r="Q6" s="22"/>
      <c r="R6" s="61">
        <f t="shared" si="0"/>
        <v>26560</v>
      </c>
      <c r="S6" s="61">
        <f t="shared" si="1"/>
        <v>27000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262000</v>
      </c>
      <c r="H7" s="94">
        <f>SUM(B5:H5)</f>
        <v>255224</v>
      </c>
      <c r="I7" s="93">
        <f>I4-I5</f>
        <v>6776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01">
        <v>143056</v>
      </c>
      <c r="Q7" s="22"/>
      <c r="R7" s="61">
        <f>P7-Q7</f>
        <v>143056</v>
      </c>
      <c r="S7" s="61">
        <f t="shared" si="1"/>
        <v>144000</v>
      </c>
      <c r="T7" s="51"/>
    </row>
    <row r="8" spans="1:20">
      <c r="A8" s="51"/>
      <c r="B8" s="75" t="s">
        <v>548</v>
      </c>
      <c r="C8" s="75" t="s">
        <v>549</v>
      </c>
      <c r="D8" s="75" t="s">
        <v>550</v>
      </c>
      <c r="E8" s="75" t="s">
        <v>551</v>
      </c>
      <c r="F8" s="75" t="s">
        <v>552</v>
      </c>
      <c r="G8" s="103" t="s">
        <v>553</v>
      </c>
      <c r="H8" s="102" t="s">
        <v>554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12">
        <v>53620</v>
      </c>
      <c r="Q8" s="22"/>
      <c r="R8" s="61">
        <f t="shared" si="0"/>
        <v>53620</v>
      </c>
      <c r="S8" s="61">
        <f t="shared" si="1"/>
        <v>54000</v>
      </c>
      <c r="T8" s="51"/>
    </row>
    <row r="9" spans="1:20">
      <c r="A9" s="51" t="s">
        <v>149</v>
      </c>
      <c r="B9" s="22">
        <v>27000</v>
      </c>
      <c r="C9" s="22">
        <v>25000</v>
      </c>
      <c r="D9" s="22">
        <v>47000</v>
      </c>
      <c r="E9" s="22">
        <v>102000</v>
      </c>
      <c r="F9" s="22">
        <v>38000</v>
      </c>
      <c r="G9" s="22">
        <v>16000</v>
      </c>
      <c r="H9" s="22">
        <v>11000</v>
      </c>
      <c r="I9" s="108">
        <f>SUM(B9:H9)</f>
        <v>266000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26000</v>
      </c>
      <c r="C10" s="22">
        <v>24000</v>
      </c>
      <c r="D10" s="22">
        <v>45900</v>
      </c>
      <c r="E10" s="22">
        <v>100900</v>
      </c>
      <c r="F10" s="22">
        <v>36500</v>
      </c>
      <c r="G10" s="22">
        <v>15100</v>
      </c>
      <c r="H10" s="22">
        <v>9500</v>
      </c>
      <c r="I10" s="108">
        <f>SUM(B10:H10)</f>
        <v>257900</v>
      </c>
      <c r="K10" s="51" t="s">
        <v>207</v>
      </c>
      <c r="L10" s="51" t="s">
        <v>206</v>
      </c>
      <c r="M10" s="51" t="s">
        <v>151</v>
      </c>
      <c r="N10" s="51" t="s">
        <v>205</v>
      </c>
      <c r="O10" s="51" t="s">
        <v>204</v>
      </c>
      <c r="P10" s="131">
        <v>16500</v>
      </c>
      <c r="Q10" s="22"/>
      <c r="R10" s="61">
        <f t="shared" si="0"/>
        <v>16500</v>
      </c>
      <c r="S10" s="61">
        <f t="shared" si="1"/>
        <v>17000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542</v>
      </c>
      <c r="M11" s="51" t="s">
        <v>202</v>
      </c>
      <c r="N11" s="51" t="s">
        <v>188</v>
      </c>
      <c r="O11" s="51" t="s">
        <v>201</v>
      </c>
      <c r="P11" s="126">
        <v>55000</v>
      </c>
      <c r="Q11" s="22"/>
      <c r="R11" s="61">
        <f t="shared" si="0"/>
        <v>55000</v>
      </c>
      <c r="S11" s="61">
        <f t="shared" si="1"/>
        <v>55000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528000</v>
      </c>
      <c r="H12" s="94">
        <f>SUM(H7,B10:H10)</f>
        <v>513124</v>
      </c>
      <c r="I12" s="93">
        <f>I9-I10</f>
        <v>8100</v>
      </c>
      <c r="K12" s="51"/>
      <c r="L12" s="51" t="s">
        <v>574</v>
      </c>
      <c r="M12" s="51" t="s">
        <v>577</v>
      </c>
      <c r="N12" s="51" t="s">
        <v>188</v>
      </c>
      <c r="O12" s="51" t="s">
        <v>578</v>
      </c>
      <c r="P12" s="126">
        <v>30000</v>
      </c>
      <c r="Q12" s="22"/>
      <c r="R12" s="61">
        <f t="shared" si="0"/>
        <v>30000</v>
      </c>
      <c r="S12" s="61">
        <f t="shared" si="1"/>
        <v>30000</v>
      </c>
      <c r="T12" s="51"/>
    </row>
    <row r="13" spans="1:20">
      <c r="B13" s="75" t="s">
        <v>555</v>
      </c>
      <c r="C13" s="75" t="s">
        <v>556</v>
      </c>
      <c r="D13" s="75" t="s">
        <v>557</v>
      </c>
      <c r="E13" s="75" t="s">
        <v>558</v>
      </c>
      <c r="F13" s="102" t="s">
        <v>559</v>
      </c>
      <c r="G13" s="103" t="s">
        <v>560</v>
      </c>
      <c r="H13" s="102" t="s">
        <v>561</v>
      </c>
      <c r="I13" s="98" t="s">
        <v>28</v>
      </c>
      <c r="K13" s="51" t="s">
        <v>191</v>
      </c>
      <c r="L13" s="51" t="s">
        <v>58</v>
      </c>
      <c r="M13" s="51" t="s">
        <v>189</v>
      </c>
      <c r="N13" s="51" t="s">
        <v>188</v>
      </c>
      <c r="O13" s="51" t="s">
        <v>190</v>
      </c>
      <c r="P13" s="126">
        <v>15217</v>
      </c>
      <c r="Q13" s="22"/>
      <c r="R13" s="61">
        <f t="shared" si="0"/>
        <v>15217</v>
      </c>
      <c r="S13" s="61">
        <f t="shared" si="1"/>
        <v>16000</v>
      </c>
      <c r="T13" s="51"/>
    </row>
    <row r="14" spans="1:20">
      <c r="A14" s="51" t="s">
        <v>149</v>
      </c>
      <c r="B14" s="22">
        <v>39000</v>
      </c>
      <c r="C14" s="22">
        <v>58000</v>
      </c>
      <c r="D14" s="22">
        <v>37000</v>
      </c>
      <c r="E14" s="22">
        <v>181000</v>
      </c>
      <c r="F14" s="22">
        <v>49000</v>
      </c>
      <c r="G14" s="22">
        <v>40000</v>
      </c>
      <c r="H14" s="22">
        <v>43000</v>
      </c>
      <c r="I14" s="107">
        <f>SUM(B14:H14)</f>
        <v>447000</v>
      </c>
      <c r="J14" s="104"/>
      <c r="K14" s="52"/>
      <c r="L14" s="51" t="s">
        <v>57</v>
      </c>
      <c r="M14" s="51" t="s">
        <v>189</v>
      </c>
      <c r="N14" s="51" t="s">
        <v>188</v>
      </c>
      <c r="O14" s="51" t="s">
        <v>180</v>
      </c>
      <c r="P14" s="126">
        <v>17952</v>
      </c>
      <c r="Q14" s="22"/>
      <c r="R14" s="61">
        <f t="shared" si="0"/>
        <v>17952</v>
      </c>
      <c r="S14" s="61">
        <f t="shared" si="1"/>
        <v>18000</v>
      </c>
      <c r="T14" s="51"/>
    </row>
    <row r="15" spans="1:20">
      <c r="A15" s="51" t="s">
        <v>96</v>
      </c>
      <c r="B15" s="22">
        <v>36380</v>
      </c>
      <c r="C15" s="22">
        <v>55500</v>
      </c>
      <c r="D15" s="22">
        <v>35800</v>
      </c>
      <c r="E15" s="22">
        <v>178470</v>
      </c>
      <c r="F15" s="22">
        <v>47920</v>
      </c>
      <c r="G15" s="22">
        <v>38310</v>
      </c>
      <c r="H15" s="22">
        <v>41500</v>
      </c>
      <c r="I15" s="107">
        <f>SUM(B15:H15)</f>
        <v>433880</v>
      </c>
      <c r="J15" s="104"/>
      <c r="K15" s="52"/>
      <c r="L15" s="51" t="s">
        <v>54</v>
      </c>
      <c r="M15" s="51" t="s">
        <v>189</v>
      </c>
      <c r="N15" s="51" t="s">
        <v>188</v>
      </c>
      <c r="O15" s="51" t="s">
        <v>187</v>
      </c>
      <c r="P15" s="131">
        <v>7918</v>
      </c>
      <c r="Q15" s="22"/>
      <c r="R15" s="61">
        <f t="shared" si="0"/>
        <v>7918</v>
      </c>
      <c r="S15" s="61">
        <f t="shared" si="1"/>
        <v>8000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26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975000</v>
      </c>
      <c r="H17" s="94">
        <f>SUM(H12,B15:H15)</f>
        <v>947004</v>
      </c>
      <c r="I17" s="93">
        <f>I14-I15</f>
        <v>13120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75" t="s">
        <v>562</v>
      </c>
      <c r="C18" s="75" t="s">
        <v>563</v>
      </c>
      <c r="D18" s="75" t="s">
        <v>564</v>
      </c>
      <c r="E18" s="75" t="s">
        <v>565</v>
      </c>
      <c r="F18" s="75" t="s">
        <v>566</v>
      </c>
      <c r="G18" s="103" t="s">
        <v>567</v>
      </c>
      <c r="H18" s="102" t="s">
        <v>568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v>10770</v>
      </c>
      <c r="Q18" s="22"/>
      <c r="R18" s="61">
        <f t="shared" si="0"/>
        <v>10770</v>
      </c>
      <c r="S18" s="61">
        <f t="shared" si="1"/>
        <v>11000</v>
      </c>
      <c r="T18" s="51"/>
    </row>
    <row r="19" spans="1:21">
      <c r="A19" s="51" t="s">
        <v>149</v>
      </c>
      <c r="B19" s="22">
        <v>32000</v>
      </c>
      <c r="C19" s="22">
        <v>36000</v>
      </c>
      <c r="D19" s="22">
        <v>58000</v>
      </c>
      <c r="E19" s="22">
        <v>48000</v>
      </c>
      <c r="F19" s="22">
        <v>82000</v>
      </c>
      <c r="G19" s="22">
        <v>12000</v>
      </c>
      <c r="H19" s="22">
        <v>62000</v>
      </c>
      <c r="I19" s="105">
        <f>SUM(B19:H19)</f>
        <v>330000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7596</v>
      </c>
      <c r="Q19" s="22"/>
      <c r="R19" s="61">
        <f t="shared" si="0"/>
        <v>7596</v>
      </c>
      <c r="S19" s="61">
        <f t="shared" si="1"/>
        <v>8000</v>
      </c>
      <c r="T19" s="51"/>
    </row>
    <row r="20" spans="1:21">
      <c r="A20" s="51" t="s">
        <v>96</v>
      </c>
      <c r="B20" s="22">
        <v>30070</v>
      </c>
      <c r="C20" s="22">
        <v>35900</v>
      </c>
      <c r="D20" s="22">
        <v>57100</v>
      </c>
      <c r="E20" s="22">
        <v>46430</v>
      </c>
      <c r="F20" s="22">
        <v>81100</v>
      </c>
      <c r="G20" s="22">
        <v>11500</v>
      </c>
      <c r="H20" s="22">
        <v>60800</v>
      </c>
      <c r="I20" s="105">
        <f>SUM(B20:H20)</f>
        <v>322900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4900</v>
      </c>
      <c r="Q20" s="22">
        <v>2791</v>
      </c>
      <c r="R20" s="61">
        <f t="shared" si="0"/>
        <v>2109</v>
      </c>
      <c r="S20" s="61">
        <f t="shared" si="1"/>
        <v>3000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01">
        <v>18000</v>
      </c>
      <c r="Q21" s="22"/>
      <c r="R21" s="61">
        <f t="shared" si="0"/>
        <v>18000</v>
      </c>
      <c r="S21" s="61">
        <f t="shared" si="1"/>
        <v>18000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1305000</v>
      </c>
      <c r="H22" s="94">
        <f>SUM(H17,B20:H20)</f>
        <v>1269904</v>
      </c>
      <c r="I22" s="93">
        <f>I19-I20</f>
        <v>7100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602</v>
      </c>
    </row>
    <row r="23" spans="1:21">
      <c r="B23" s="75" t="s">
        <v>570</v>
      </c>
      <c r="C23" s="75" t="s">
        <v>571</v>
      </c>
      <c r="D23" s="75" t="s">
        <v>569</v>
      </c>
      <c r="E23" s="75" t="s">
        <v>572</v>
      </c>
      <c r="F23" s="75" t="s">
        <v>573</v>
      </c>
      <c r="G23" s="103"/>
      <c r="H23" s="102"/>
      <c r="I23" s="98" t="s">
        <v>28</v>
      </c>
      <c r="K23" s="51"/>
      <c r="L23" s="51" t="s">
        <v>482</v>
      </c>
      <c r="M23" s="51" t="s">
        <v>160</v>
      </c>
      <c r="N23" s="51" t="s">
        <v>433</v>
      </c>
      <c r="O23" s="51" t="s">
        <v>483</v>
      </c>
      <c r="P23" s="126">
        <v>10200</v>
      </c>
      <c r="Q23" s="22"/>
      <c r="R23" s="61">
        <f t="shared" si="0"/>
        <v>10200</v>
      </c>
      <c r="S23" s="61">
        <f t="shared" si="1"/>
        <v>11000</v>
      </c>
      <c r="T23" s="41" t="s">
        <v>245</v>
      </c>
    </row>
    <row r="24" spans="1:21">
      <c r="A24" s="51" t="s">
        <v>149</v>
      </c>
      <c r="B24" s="22">
        <v>16000</v>
      </c>
      <c r="C24" s="22">
        <v>51000</v>
      </c>
      <c r="D24" s="22">
        <v>58000</v>
      </c>
      <c r="E24" s="22">
        <v>72000</v>
      </c>
      <c r="F24" s="22">
        <f>8000+4000+5000</f>
        <v>17000</v>
      </c>
      <c r="G24" s="22"/>
      <c r="H24" s="22"/>
      <c r="I24" s="100">
        <f>SUM(B24:H24)</f>
        <v>214000</v>
      </c>
      <c r="K24" s="51"/>
      <c r="L24" s="51" t="s">
        <v>575</v>
      </c>
      <c r="M24" s="51" t="s">
        <v>160</v>
      </c>
      <c r="N24" s="51" t="s">
        <v>433</v>
      </c>
      <c r="O24" s="51" t="s">
        <v>163</v>
      </c>
      <c r="P24" s="126">
        <v>26400</v>
      </c>
      <c r="Q24" s="22"/>
      <c r="R24" s="61">
        <f t="shared" ref="R24" si="2">P24-Q24</f>
        <v>26400</v>
      </c>
      <c r="S24" s="61">
        <f t="shared" ref="S24" si="3">ROUNDUP(R24,-3)</f>
        <v>27000</v>
      </c>
      <c r="T24" s="41" t="s">
        <v>481</v>
      </c>
    </row>
    <row r="25" spans="1:21">
      <c r="A25" s="51" t="s">
        <v>96</v>
      </c>
      <c r="B25" s="22">
        <v>14500</v>
      </c>
      <c r="C25" s="22">
        <v>49890</v>
      </c>
      <c r="D25" s="22">
        <v>56200</v>
      </c>
      <c r="E25" s="22">
        <v>70440</v>
      </c>
      <c r="F25" s="22">
        <v>16600</v>
      </c>
      <c r="G25" s="22"/>
      <c r="H25" s="22"/>
      <c r="I25" s="100">
        <f>SUM(B25:H25)</f>
        <v>207630</v>
      </c>
      <c r="K25" s="51" t="s">
        <v>28</v>
      </c>
      <c r="L25" s="51"/>
      <c r="M25" s="51"/>
      <c r="N25" s="51"/>
      <c r="O25" s="51"/>
      <c r="P25" s="61">
        <f>SUM(P4:P24)</f>
        <v>1093569</v>
      </c>
      <c r="Q25" s="22"/>
      <c r="R25" s="61">
        <f>SUM(R4:R24)</f>
        <v>1090778</v>
      </c>
      <c r="S25" s="61">
        <f>ROUNDUP(R25,-3)</f>
        <v>1091000</v>
      </c>
      <c r="T25" s="51"/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>
        <v>46234</v>
      </c>
      <c r="M26" s="95" t="s">
        <v>244</v>
      </c>
      <c r="P26" t="s">
        <v>362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1519000</v>
      </c>
      <c r="H27" s="94">
        <f>SUM(H22,B25:H25)</f>
        <v>1477534</v>
      </c>
      <c r="I27" s="93">
        <f>I24-I25</f>
        <v>6370</v>
      </c>
      <c r="P27" t="s">
        <v>356</v>
      </c>
    </row>
    <row r="28" spans="1:21">
      <c r="K28" s="66" t="s">
        <v>126</v>
      </c>
      <c r="O28" s="66" t="s">
        <v>358</v>
      </c>
      <c r="P28" t="s">
        <v>357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250000</v>
      </c>
      <c r="C30" s="51" t="s">
        <v>97</v>
      </c>
      <c r="D30" s="91">
        <f>IFERROR(SUM(B4:H4)/A30,0)</f>
        <v>1.048</v>
      </c>
      <c r="E30" s="91">
        <f>IFERROR((SUM(B9:H9))/A31,0)</f>
        <v>1.0640000000000001</v>
      </c>
      <c r="F30" s="91">
        <f>IFERROR((SUM(B14:H14)-J46)/A32,0)</f>
        <v>1.788</v>
      </c>
      <c r="G30" s="91">
        <f>IFERROR((SUM(B19:H19)-J46)/A33,0)</f>
        <v>1.32</v>
      </c>
      <c r="H30" s="91">
        <f>IFERROR((SUM(B24:H24)-K46)/A34,0)</f>
        <v>1.07</v>
      </c>
      <c r="I30" s="61">
        <f>SUM(I7,I12,I17,I22,I27)</f>
        <v>41466</v>
      </c>
      <c r="K30" s="51" t="s">
        <v>135</v>
      </c>
      <c r="L30" s="51" t="s">
        <v>130</v>
      </c>
      <c r="M30" s="149">
        <v>150000</v>
      </c>
      <c r="O30" s="51" t="s">
        <v>360</v>
      </c>
      <c r="P30" s="149">
        <v>120000</v>
      </c>
      <c r="Q30" s="61">
        <f>ROUNDUP(P30,-3)</f>
        <v>120000</v>
      </c>
      <c r="S30" s="51" t="s">
        <v>115</v>
      </c>
      <c r="T30" s="140">
        <v>200000</v>
      </c>
      <c r="U30" s="148">
        <f>ROUNDUP(T30,-3)</f>
        <v>200000</v>
      </c>
    </row>
    <row r="31" spans="1:21">
      <c r="A31" s="22">
        <v>250000</v>
      </c>
      <c r="B31" s="2"/>
      <c r="C31" s="51" t="s">
        <v>96</v>
      </c>
      <c r="D31" s="91">
        <f>IFERROR(SUM(B5:H5)/A30,0)</f>
        <v>1.020896</v>
      </c>
      <c r="E31" s="91">
        <f>IFERROR((SUM(B10:H10))/A31,0)</f>
        <v>1.0316000000000001</v>
      </c>
      <c r="F31" s="91">
        <f>IFERROR((SUM(B15:H15)-J47)/A32,0)</f>
        <v>1.73552</v>
      </c>
      <c r="G31" s="91">
        <f>IFERROR((SUM(B20:H20)-J47)/A33,0)</f>
        <v>1.2916000000000001</v>
      </c>
      <c r="H31" s="91">
        <f>IFERROR((SUM(B25:H25)-K47)/A34,0)</f>
        <v>1.0381499999999999</v>
      </c>
      <c r="I31" s="41" t="s">
        <v>134</v>
      </c>
      <c r="K31" s="51" t="s">
        <v>133</v>
      </c>
      <c r="L31" s="51" t="s">
        <v>130</v>
      </c>
      <c r="M31" s="149">
        <v>20000</v>
      </c>
      <c r="O31" s="51" t="s">
        <v>361</v>
      </c>
      <c r="P31" s="22"/>
      <c r="Q31" s="61">
        <f t="shared" ref="Q31:Q32" si="4">ROUNDUP(P31,-3)</f>
        <v>0</v>
      </c>
      <c r="S31"/>
    </row>
    <row r="32" spans="1:21">
      <c r="A32" s="22">
        <v>250000</v>
      </c>
      <c r="B32" s="2"/>
      <c r="C32" s="51" t="s">
        <v>132</v>
      </c>
      <c r="D32" s="90">
        <f>A30-SUM(B5:H5)</f>
        <v>-5224</v>
      </c>
      <c r="E32" s="90">
        <f>A31-SUM(B10:H10)</f>
        <v>-7900</v>
      </c>
      <c r="F32" s="90">
        <f>A32-SUM(B15:H15)</f>
        <v>-183880</v>
      </c>
      <c r="G32" s="90">
        <f>A33-SUM(B20:H20)</f>
        <v>-72900</v>
      </c>
      <c r="H32" s="90">
        <f>A34-SUM(B25:H25)</f>
        <v>-7630</v>
      </c>
      <c r="I32" s="61">
        <f>G27-H27</f>
        <v>41466</v>
      </c>
      <c r="K32" s="51" t="s">
        <v>131</v>
      </c>
      <c r="L32" s="51" t="s">
        <v>130</v>
      </c>
      <c r="M32" s="149">
        <v>20000</v>
      </c>
      <c r="O32" s="51" t="s">
        <v>359</v>
      </c>
      <c r="P32" s="22"/>
      <c r="Q32" s="61">
        <f t="shared" si="4"/>
        <v>0</v>
      </c>
      <c r="S32" s="66" t="s">
        <v>125</v>
      </c>
    </row>
    <row r="33" spans="1:21">
      <c r="A33" s="22">
        <v>250000</v>
      </c>
      <c r="B33" s="2"/>
      <c r="C33" s="51" t="s">
        <v>129</v>
      </c>
      <c r="D33" s="89">
        <f>D32</f>
        <v>-5224</v>
      </c>
      <c r="E33" s="89">
        <f>D33+E32</f>
        <v>-13124</v>
      </c>
      <c r="F33" s="89">
        <f>E33+F32</f>
        <v>-197004</v>
      </c>
      <c r="G33" s="89">
        <f>F33+G32</f>
        <v>-269904</v>
      </c>
      <c r="H33" s="89">
        <f>G33+H32</f>
        <v>-277534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200000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>
        <v>200000</v>
      </c>
      <c r="U34" s="148">
        <f>ROUNDUP(T34,-3)</f>
        <v>200000</v>
      </c>
    </row>
    <row r="35" spans="1:21">
      <c r="A35" s="85">
        <f>SUM(A30:A34)</f>
        <v>1200000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539</v>
      </c>
      <c r="L35" s="41" t="s">
        <v>304</v>
      </c>
      <c r="M35" s="41" t="s">
        <v>28</v>
      </c>
      <c r="N35" s="22" t="s">
        <v>121</v>
      </c>
      <c r="O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1519000</v>
      </c>
      <c r="D36" s="61">
        <f>S25</f>
        <v>1091000</v>
      </c>
      <c r="E36" s="61">
        <f>SUM(M30:M32)</f>
        <v>190000</v>
      </c>
      <c r="F36" s="61">
        <f>U34</f>
        <v>200000</v>
      </c>
      <c r="G36" s="61">
        <f>U30</f>
        <v>200000</v>
      </c>
      <c r="H36" s="61">
        <f>Q33</f>
        <v>120000</v>
      </c>
      <c r="I36" s="61">
        <f>U40</f>
        <v>30000</v>
      </c>
      <c r="J36" s="61">
        <f>S53</f>
        <v>320000</v>
      </c>
      <c r="K36" s="61">
        <f>T53</f>
        <v>0</v>
      </c>
      <c r="L36" s="22">
        <f>SUM(J46:P46)</f>
        <v>0</v>
      </c>
      <c r="M36" s="61">
        <f>SUM(C36:K36)-L36</f>
        <v>3670000</v>
      </c>
      <c r="N36" s="33" t="s">
        <v>120</v>
      </c>
      <c r="O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1477534</v>
      </c>
      <c r="D37" s="61">
        <f>R25</f>
        <v>1090778</v>
      </c>
      <c r="E37" s="61">
        <f>SUM(M30:M32)</f>
        <v>190000</v>
      </c>
      <c r="F37" s="22">
        <f>T34</f>
        <v>200000</v>
      </c>
      <c r="G37" s="22">
        <f>T30</f>
        <v>200000</v>
      </c>
      <c r="H37" s="61">
        <f>P33</f>
        <v>120000</v>
      </c>
      <c r="I37" s="22">
        <f>T40</f>
        <v>29400</v>
      </c>
      <c r="J37" s="22">
        <f>S54</f>
        <v>319500</v>
      </c>
      <c r="K37" s="22">
        <f>T54</f>
        <v>0</v>
      </c>
      <c r="L37" s="22">
        <f>SUM(J47:P47)</f>
        <v>0</v>
      </c>
      <c r="M37" s="61">
        <f>SUM(C37:K37)-L37</f>
        <v>3627212</v>
      </c>
      <c r="N37" s="33" t="s">
        <v>118</v>
      </c>
      <c r="O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N38" s="33" t="s">
        <v>115</v>
      </c>
      <c r="O38" s="22">
        <v>200000</v>
      </c>
      <c r="P38" s="51" t="s">
        <v>360</v>
      </c>
      <c r="Q38" s="22">
        <v>120000</v>
      </c>
      <c r="S38" s="51" t="s">
        <v>576</v>
      </c>
      <c r="T38" s="22">
        <v>29400</v>
      </c>
      <c r="U38" s="61">
        <f>ROUNDUP(T38,-3)</f>
        <v>30000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29400</v>
      </c>
      <c r="U40" s="81">
        <f>SUM(U38:U39)</f>
        <v>30000</v>
      </c>
    </row>
    <row r="41" spans="1:21">
      <c r="B41" s="79" t="s">
        <v>97</v>
      </c>
      <c r="C41" s="22">
        <f>C42</f>
        <v>2785740</v>
      </c>
      <c r="D41" s="61">
        <f>M36</f>
        <v>3670000</v>
      </c>
      <c r="E41" s="145">
        <f>C41-D41</f>
        <v>-884260</v>
      </c>
      <c r="F41" s="77" t="str">
        <f>IF(E41&gt;0,"SUCCESS","FAIL")</f>
        <v>FAIL</v>
      </c>
      <c r="H41" s="61">
        <f>C36-C37</f>
        <v>41466</v>
      </c>
      <c r="I41" s="61">
        <f>SUM(I7,I12,I17,I22,I27)</f>
        <v>41466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2785740</v>
      </c>
      <c r="D42" s="61">
        <f>M37</f>
        <v>3627212</v>
      </c>
      <c r="E42" s="145">
        <f>C42-D42</f>
        <v>-841472</v>
      </c>
      <c r="F42" s="77" t="str">
        <f>IF(E42&gt;0,"SUCCESS","FAIL")</f>
        <v>FAIL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  <c r="S43" s="66" t="s">
        <v>539</v>
      </c>
      <c r="T43" s="2"/>
      <c r="U43" s="2"/>
    </row>
    <row r="44" spans="1:21">
      <c r="I44" s="41" t="s">
        <v>99</v>
      </c>
      <c r="J44" s="75"/>
      <c r="K44" s="41"/>
      <c r="L44" s="41"/>
      <c r="M44" s="41"/>
      <c r="N44" s="41"/>
      <c r="O44" s="41"/>
      <c r="P44" s="41"/>
      <c r="S44" s="51" t="s">
        <v>98</v>
      </c>
      <c r="T44" s="51" t="s">
        <v>108</v>
      </c>
      <c r="U44" s="41" t="s">
        <v>117</v>
      </c>
    </row>
    <row r="45" spans="1:21" ht="19.8" thickBot="1">
      <c r="B45" t="s">
        <v>109</v>
      </c>
      <c r="E45" s="111" t="s">
        <v>311</v>
      </c>
      <c r="I45" s="41" t="s">
        <v>98</v>
      </c>
      <c r="J45" s="41"/>
      <c r="K45" s="41"/>
      <c r="L45" s="41"/>
      <c r="M45" s="41"/>
      <c r="N45" s="41"/>
      <c r="O45" s="41"/>
      <c r="P45" s="41"/>
      <c r="S45" s="41">
        <v>20260606</v>
      </c>
      <c r="T45" s="33">
        <v>150000</v>
      </c>
      <c r="U45" s="159">
        <f>ROUNDUP(T45,-3)</f>
        <v>150000</v>
      </c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/>
      <c r="K46" s="33"/>
      <c r="L46" s="33"/>
      <c r="M46" s="33"/>
      <c r="N46" s="33"/>
      <c r="O46" s="33"/>
      <c r="P46" s="33"/>
      <c r="S46" s="160"/>
      <c r="T46" s="33"/>
      <c r="U46" s="159">
        <f>ROUNDUP(T46,-3)</f>
        <v>0</v>
      </c>
    </row>
    <row r="47" spans="1:21" ht="19.8" thickBot="1">
      <c r="B47" s="51" t="s">
        <v>104</v>
      </c>
      <c r="C47" s="22">
        <v>2785740</v>
      </c>
      <c r="E47" s="70">
        <f>C36</f>
        <v>1519000</v>
      </c>
      <c r="F47" s="69">
        <f>'[1]7월'!$W$12</f>
        <v>1519000</v>
      </c>
      <c r="G47" s="68" t="b">
        <f>IF(G27='[1]7월'!$W$12,TRUE,FALSE)</f>
        <v>1</v>
      </c>
      <c r="I47" s="41" t="s">
        <v>96</v>
      </c>
      <c r="J47" s="33"/>
      <c r="K47" s="33"/>
      <c r="L47" s="33"/>
      <c r="M47" s="33"/>
      <c r="N47" s="33"/>
      <c r="O47" s="33"/>
      <c r="P47" s="33"/>
      <c r="S47" s="161" t="s">
        <v>28</v>
      </c>
      <c r="T47" s="161">
        <f>SUM(T45:T46)</f>
        <v>150000</v>
      </c>
      <c r="U47" s="161">
        <f>SUM(U45:U46)</f>
        <v>150000</v>
      </c>
    </row>
    <row r="48" spans="1:21">
      <c r="B48" s="51" t="s">
        <v>100</v>
      </c>
      <c r="C48" s="22">
        <v>0</v>
      </c>
    </row>
    <row r="49" spans="2:19">
      <c r="B49" s="51" t="s">
        <v>103</v>
      </c>
      <c r="C49" s="141">
        <v>0</v>
      </c>
    </row>
    <row r="50" spans="2:19">
      <c r="I50" s="2"/>
    </row>
    <row r="52" spans="2:19">
      <c r="B52" s="66" t="s">
        <v>16</v>
      </c>
      <c r="C52" s="2"/>
      <c r="D52" s="2"/>
      <c r="E52" s="2"/>
      <c r="F52" s="2"/>
      <c r="R52" s="66" t="s">
        <v>102</v>
      </c>
      <c r="S52" s="2"/>
    </row>
    <row r="53" spans="2:19">
      <c r="B53" s="41" t="s">
        <v>99</v>
      </c>
      <c r="C53" s="75">
        <v>46218</v>
      </c>
      <c r="D53" s="41"/>
      <c r="E53" s="41"/>
      <c r="F53" s="41"/>
      <c r="G53" s="41"/>
      <c r="H53" s="41"/>
      <c r="I53" s="41"/>
      <c r="J53" s="49"/>
      <c r="K53" s="41"/>
      <c r="L53" s="146"/>
      <c r="M53" s="146"/>
      <c r="N53" s="146"/>
      <c r="O53" s="146"/>
      <c r="R53" s="41" t="s">
        <v>97</v>
      </c>
      <c r="S53" s="33">
        <f>SUM(C55:O55)-SUM(C61)</f>
        <v>320000</v>
      </c>
    </row>
    <row r="54" spans="2:19">
      <c r="B54" s="41" t="s">
        <v>98</v>
      </c>
      <c r="C54" s="41" t="s">
        <v>579</v>
      </c>
      <c r="D54" s="41"/>
      <c r="E54" s="41"/>
      <c r="F54" s="41"/>
      <c r="G54" s="41"/>
      <c r="H54" s="41"/>
      <c r="I54" s="41"/>
      <c r="J54" s="49"/>
      <c r="K54" s="41"/>
      <c r="L54" s="2"/>
      <c r="M54" s="2"/>
      <c r="N54" s="2"/>
      <c r="O54" s="2"/>
      <c r="R54" s="41" t="s">
        <v>96</v>
      </c>
      <c r="S54" s="33">
        <f>SUM(C56:O56)-SUM(C62:F62)</f>
        <v>319500</v>
      </c>
    </row>
    <row r="55" spans="2:19">
      <c r="B55" s="41" t="s">
        <v>97</v>
      </c>
      <c r="C55" s="33">
        <v>320000</v>
      </c>
      <c r="D55" s="33"/>
      <c r="E55" s="33"/>
      <c r="F55" s="33"/>
      <c r="G55" s="33"/>
      <c r="H55" s="33"/>
      <c r="I55" s="33"/>
      <c r="J55" s="46"/>
      <c r="K55" s="33"/>
      <c r="L55" s="147"/>
      <c r="M55" s="147"/>
      <c r="N55" s="147"/>
      <c r="O55" s="147"/>
    </row>
    <row r="56" spans="2:19">
      <c r="B56" s="41" t="s">
        <v>96</v>
      </c>
      <c r="C56" s="33">
        <v>319500</v>
      </c>
      <c r="D56" s="33"/>
      <c r="E56" s="33"/>
      <c r="F56" s="33"/>
      <c r="G56" s="33"/>
      <c r="H56" s="33"/>
      <c r="I56" s="33"/>
      <c r="J56" s="46"/>
      <c r="K56" s="33"/>
      <c r="L56" s="147"/>
      <c r="M56" s="147"/>
      <c r="N56" s="147"/>
      <c r="O56" s="147"/>
    </row>
    <row r="58" spans="2:19">
      <c r="B58" s="66" t="s">
        <v>101</v>
      </c>
      <c r="C58" s="2"/>
      <c r="D58" s="2"/>
      <c r="E58" s="66" t="s">
        <v>100</v>
      </c>
      <c r="F58" s="2"/>
    </row>
    <row r="59" spans="2:19">
      <c r="B59" s="41" t="s">
        <v>99</v>
      </c>
      <c r="C59" s="75"/>
      <c r="D59" s="65"/>
      <c r="E59" s="41" t="s">
        <v>99</v>
      </c>
      <c r="F59" s="75"/>
      <c r="G59" s="41"/>
      <c r="H59" s="41"/>
      <c r="I59" s="41"/>
    </row>
    <row r="60" spans="2:19">
      <c r="B60" s="41" t="s">
        <v>98</v>
      </c>
      <c r="C60" s="41"/>
      <c r="D60" s="65"/>
      <c r="E60" s="41" t="s">
        <v>98</v>
      </c>
      <c r="F60" s="41"/>
      <c r="G60" s="41"/>
      <c r="H60" s="41"/>
      <c r="I60" s="41"/>
    </row>
    <row r="61" spans="2:19">
      <c r="B61" s="41" t="s">
        <v>97</v>
      </c>
      <c r="C61" s="33"/>
      <c r="D61" s="65"/>
      <c r="E61" s="41" t="s">
        <v>97</v>
      </c>
      <c r="F61" s="33"/>
      <c r="G61" s="33"/>
      <c r="H61" s="33"/>
      <c r="I61" s="33"/>
    </row>
    <row r="62" spans="2:19">
      <c r="B62" s="41" t="s">
        <v>96</v>
      </c>
      <c r="C62" s="33"/>
      <c r="D62" s="65"/>
      <c r="E62" s="2"/>
      <c r="F62" s="2"/>
    </row>
  </sheetData>
  <mergeCells count="1">
    <mergeCell ref="L1:Q2"/>
  </mergeCells>
  <phoneticPr fontId="4" type="noConversion"/>
  <conditionalFormatting sqref="F41:F42">
    <cfRule type="cellIs" dxfId="5" priority="1" operator="equal">
      <formula>"FAIL"</formula>
    </cfRule>
    <cfRule type="cellIs" dxfId="4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8E61-05B4-A344-9125-769BB8E77948}">
  <sheetPr codeName="Sheet12"/>
  <dimension ref="A1:U62"/>
  <sheetViews>
    <sheetView topLeftCell="H1" zoomScaleNormal="100" workbookViewId="0">
      <selection activeCell="P7" sqref="P7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1" max="11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75" t="s">
        <v>637</v>
      </c>
      <c r="C3" s="75"/>
      <c r="D3" s="163"/>
      <c r="E3" s="75"/>
      <c r="F3" s="75"/>
      <c r="G3" s="103" t="s">
        <v>603</v>
      </c>
      <c r="H3" s="102" t="s">
        <v>604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>
        <v>302000</v>
      </c>
      <c r="C4" s="22"/>
      <c r="D4" s="22"/>
      <c r="E4" s="22"/>
      <c r="F4" s="22"/>
      <c r="G4" s="22">
        <v>124000</v>
      </c>
      <c r="H4" s="22">
        <f>102000+9000+21000</f>
        <v>132000</v>
      </c>
      <c r="I4" s="108">
        <f>SUM(B4:H4)</f>
        <v>558000</v>
      </c>
      <c r="K4" s="51" t="s">
        <v>228</v>
      </c>
      <c r="L4" s="51"/>
      <c r="M4" s="51" t="s">
        <v>189</v>
      </c>
      <c r="N4" s="51"/>
      <c r="O4" s="51" t="s">
        <v>639</v>
      </c>
      <c r="P4" s="126">
        <v>391000</v>
      </c>
      <c r="Q4" s="22"/>
      <c r="R4" s="61">
        <f t="shared" ref="R4:R24" si="0">P4-Q4</f>
        <v>391000</v>
      </c>
      <c r="S4" s="61">
        <f t="shared" ref="S4:S24" si="1">ROUNDUP(R4,-3)</f>
        <v>391000</v>
      </c>
      <c r="T4" s="51"/>
    </row>
    <row r="5" spans="1:20">
      <c r="A5" s="51" t="s">
        <v>96</v>
      </c>
      <c r="B5" s="22">
        <v>296590</v>
      </c>
      <c r="C5" s="22"/>
      <c r="D5" s="22"/>
      <c r="E5" s="22"/>
      <c r="F5" s="110"/>
      <c r="G5" s="22">
        <v>120400</v>
      </c>
      <c r="H5" s="22">
        <f>101200+8590+20900</f>
        <v>130690</v>
      </c>
      <c r="I5" s="108">
        <f>SUM(B5:H5)</f>
        <v>547680</v>
      </c>
      <c r="K5" s="51" t="s">
        <v>226</v>
      </c>
      <c r="L5" s="109" t="s">
        <v>633</v>
      </c>
      <c r="M5" s="51" t="s">
        <v>160</v>
      </c>
      <c r="N5" s="51" t="s">
        <v>188</v>
      </c>
      <c r="O5" s="51" t="s">
        <v>225</v>
      </c>
      <c r="P5" s="126">
        <v>59600</v>
      </c>
      <c r="Q5" s="22"/>
      <c r="R5" s="61">
        <f>P5-Q5</f>
        <v>59600</v>
      </c>
      <c r="S5" s="61">
        <f t="shared" si="1"/>
        <v>60000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633</v>
      </c>
      <c r="M6" s="51" t="s">
        <v>160</v>
      </c>
      <c r="N6" s="51" t="s">
        <v>188</v>
      </c>
      <c r="O6" s="51" t="s">
        <v>223</v>
      </c>
      <c r="P6" s="126">
        <v>3010</v>
      </c>
      <c r="Q6" s="22"/>
      <c r="R6" s="61">
        <f t="shared" si="0"/>
        <v>3010</v>
      </c>
      <c r="S6" s="61">
        <f t="shared" si="1"/>
        <v>4000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558000</v>
      </c>
      <c r="H7" s="94">
        <f>SUM(B5:H5)</f>
        <v>547680</v>
      </c>
      <c r="I7" s="93">
        <f>I4-I5</f>
        <v>10320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6">
        <v>143056</v>
      </c>
      <c r="Q7" s="22"/>
      <c r="R7" s="61">
        <f>P7-Q7</f>
        <v>143056</v>
      </c>
      <c r="S7" s="61">
        <f t="shared" si="1"/>
        <v>144000</v>
      </c>
      <c r="T7" s="51"/>
    </row>
    <row r="8" spans="1:20">
      <c r="A8" s="51"/>
      <c r="B8" s="75" t="s">
        <v>605</v>
      </c>
      <c r="C8" s="75" t="s">
        <v>606</v>
      </c>
      <c r="D8" s="75" t="s">
        <v>607</v>
      </c>
      <c r="E8" s="75" t="s">
        <v>608</v>
      </c>
      <c r="F8" s="75" t="s">
        <v>609</v>
      </c>
      <c r="G8" s="103" t="s">
        <v>610</v>
      </c>
      <c r="H8" s="102" t="s">
        <v>611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31">
        <v>53620</v>
      </c>
      <c r="Q8" s="22"/>
      <c r="R8" s="61">
        <f t="shared" si="0"/>
        <v>53620</v>
      </c>
      <c r="S8" s="61">
        <f t="shared" si="1"/>
        <v>54000</v>
      </c>
      <c r="T8" s="51"/>
    </row>
    <row r="9" spans="1:20">
      <c r="A9" s="51" t="s">
        <v>149</v>
      </c>
      <c r="B9" s="22">
        <v>55000</v>
      </c>
      <c r="C9" s="22">
        <v>55000</v>
      </c>
      <c r="D9" s="22">
        <v>58000</v>
      </c>
      <c r="E9" s="22">
        <v>71000</v>
      </c>
      <c r="F9" s="22">
        <v>64000</v>
      </c>
      <c r="G9" s="22">
        <v>112000</v>
      </c>
      <c r="H9" s="22">
        <v>46000</v>
      </c>
      <c r="I9" s="108">
        <f>SUM(B9:H9)</f>
        <v>461000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53220</v>
      </c>
      <c r="C10" s="22">
        <v>53100</v>
      </c>
      <c r="D10" s="22">
        <v>56550</v>
      </c>
      <c r="E10" s="22">
        <v>69300</v>
      </c>
      <c r="F10" s="22">
        <v>62900</v>
      </c>
      <c r="G10" s="22">
        <v>108910</v>
      </c>
      <c r="H10" s="22">
        <v>45300</v>
      </c>
      <c r="I10" s="108">
        <f>SUM(B10:H10)</f>
        <v>449280</v>
      </c>
      <c r="K10" s="51" t="s">
        <v>207</v>
      </c>
      <c r="L10" s="51" t="s">
        <v>634</v>
      </c>
      <c r="M10" s="51" t="s">
        <v>160</v>
      </c>
      <c r="N10" s="51" t="s">
        <v>188</v>
      </c>
      <c r="O10" s="188" t="s">
        <v>640</v>
      </c>
      <c r="P10" s="131">
        <v>43420</v>
      </c>
      <c r="Q10" s="22"/>
      <c r="R10" s="61">
        <f t="shared" si="0"/>
        <v>43420</v>
      </c>
      <c r="S10" s="61">
        <f t="shared" si="1"/>
        <v>44000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574</v>
      </c>
      <c r="M11" s="51" t="s">
        <v>577</v>
      </c>
      <c r="N11" s="51" t="s">
        <v>188</v>
      </c>
      <c r="O11" s="51" t="s">
        <v>578</v>
      </c>
      <c r="P11" s="126">
        <v>93200</v>
      </c>
      <c r="Q11" s="22"/>
      <c r="R11" s="61">
        <f t="shared" si="0"/>
        <v>93200</v>
      </c>
      <c r="S11" s="61">
        <f t="shared" si="1"/>
        <v>94000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1019000</v>
      </c>
      <c r="H12" s="94">
        <f>SUM(H7,B10:H10)</f>
        <v>996960</v>
      </c>
      <c r="I12" s="93">
        <f>I9-I10</f>
        <v>11720</v>
      </c>
      <c r="K12" s="51"/>
      <c r="L12" s="51" t="s">
        <v>646</v>
      </c>
      <c r="M12" s="51"/>
      <c r="N12" s="51" t="s">
        <v>647</v>
      </c>
      <c r="O12" s="51" t="s">
        <v>648</v>
      </c>
      <c r="P12" s="126">
        <v>7448</v>
      </c>
      <c r="Q12" s="22"/>
      <c r="R12" s="61">
        <f t="shared" si="0"/>
        <v>7448</v>
      </c>
      <c r="S12" s="61">
        <f t="shared" si="1"/>
        <v>8000</v>
      </c>
      <c r="T12" s="51"/>
    </row>
    <row r="13" spans="1:20">
      <c r="B13" s="75" t="s">
        <v>612</v>
      </c>
      <c r="C13" s="75" t="s">
        <v>613</v>
      </c>
      <c r="D13" s="75" t="s">
        <v>614</v>
      </c>
      <c r="E13" s="75" t="s">
        <v>615</v>
      </c>
      <c r="F13" s="75" t="s">
        <v>616</v>
      </c>
      <c r="G13" s="102" t="s">
        <v>617</v>
      </c>
      <c r="H13" s="102" t="s">
        <v>618</v>
      </c>
      <c r="I13" s="98" t="s">
        <v>28</v>
      </c>
      <c r="K13" s="51" t="s">
        <v>636</v>
      </c>
      <c r="L13" s="51" t="s">
        <v>635</v>
      </c>
      <c r="M13" s="51" t="s">
        <v>189</v>
      </c>
      <c r="N13" s="51" t="s">
        <v>188</v>
      </c>
      <c r="O13" s="51" t="s">
        <v>638</v>
      </c>
      <c r="P13" s="126">
        <v>93420</v>
      </c>
      <c r="Q13" s="22"/>
      <c r="R13" s="61">
        <f t="shared" si="0"/>
        <v>93420</v>
      </c>
      <c r="S13" s="61">
        <f t="shared" si="1"/>
        <v>94000</v>
      </c>
      <c r="T13" s="51"/>
    </row>
    <row r="14" spans="1:20">
      <c r="A14" s="51" t="s">
        <v>149</v>
      </c>
      <c r="B14" s="22">
        <v>53000</v>
      </c>
      <c r="C14" s="22">
        <v>143000</v>
      </c>
      <c r="D14" s="22">
        <v>106000</v>
      </c>
      <c r="E14" s="22">
        <v>10000</v>
      </c>
      <c r="F14" s="22">
        <v>53000</v>
      </c>
      <c r="G14" s="22">
        <v>111000</v>
      </c>
      <c r="H14" s="22">
        <v>123000</v>
      </c>
      <c r="I14" s="107">
        <f>SUM(B14:H14)</f>
        <v>599000</v>
      </c>
      <c r="J14" s="104"/>
      <c r="K14" s="52"/>
      <c r="L14" s="51"/>
      <c r="M14" s="51"/>
      <c r="N14" s="51"/>
      <c r="O14" s="51"/>
      <c r="P14" s="127"/>
      <c r="Q14" s="22"/>
      <c r="R14" s="61">
        <f t="shared" si="0"/>
        <v>0</v>
      </c>
      <c r="S14" s="61">
        <f t="shared" si="1"/>
        <v>0</v>
      </c>
      <c r="T14" s="51"/>
    </row>
    <row r="15" spans="1:20">
      <c r="A15" s="51" t="s">
        <v>96</v>
      </c>
      <c r="B15" s="22">
        <v>52400</v>
      </c>
      <c r="C15" s="22">
        <v>138880</v>
      </c>
      <c r="D15" s="22">
        <v>103720</v>
      </c>
      <c r="E15" s="22">
        <v>10000</v>
      </c>
      <c r="F15" s="22">
        <v>51050</v>
      </c>
      <c r="G15" s="22">
        <v>109110</v>
      </c>
      <c r="H15" s="22">
        <v>120740</v>
      </c>
      <c r="I15" s="107">
        <f>SUM(B15:H15)</f>
        <v>585900</v>
      </c>
      <c r="J15" s="104"/>
      <c r="K15" s="52"/>
      <c r="L15" s="51"/>
      <c r="M15" s="51"/>
      <c r="N15" s="51"/>
      <c r="O15" s="51"/>
      <c r="P15" s="187"/>
      <c r="Q15" s="22"/>
      <c r="R15" s="61">
        <f t="shared" si="0"/>
        <v>0</v>
      </c>
      <c r="S15" s="61">
        <f t="shared" si="1"/>
        <v>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 t="s">
        <v>186</v>
      </c>
      <c r="L16" s="51" t="s">
        <v>185</v>
      </c>
      <c r="M16" s="51" t="s">
        <v>151</v>
      </c>
      <c r="N16" s="51" t="s">
        <v>184</v>
      </c>
      <c r="O16" s="51" t="s">
        <v>183</v>
      </c>
      <c r="P16" s="131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1618000</v>
      </c>
      <c r="H17" s="94">
        <f>SUM(H12,B15:H15)</f>
        <v>1582860</v>
      </c>
      <c r="I17" s="93">
        <f>I14-I15</f>
        <v>13100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102" t="s">
        <v>619</v>
      </c>
      <c r="C18" s="75" t="s">
        <v>620</v>
      </c>
      <c r="D18" s="75" t="s">
        <v>621</v>
      </c>
      <c r="E18" s="75" t="s">
        <v>622</v>
      </c>
      <c r="F18" s="75" t="s">
        <v>623</v>
      </c>
      <c r="G18" s="103" t="s">
        <v>624</v>
      </c>
      <c r="H18" s="102" t="s">
        <v>625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f>1800+8555</f>
        <v>10355</v>
      </c>
      <c r="Q18" s="22"/>
      <c r="R18" s="61">
        <f t="shared" si="0"/>
        <v>10355</v>
      </c>
      <c r="S18" s="61">
        <f t="shared" si="1"/>
        <v>11000</v>
      </c>
      <c r="T18" s="51"/>
    </row>
    <row r="19" spans="1:21">
      <c r="A19" s="51" t="s">
        <v>149</v>
      </c>
      <c r="B19" s="22">
        <v>46000</v>
      </c>
      <c r="C19" s="22">
        <v>63000</v>
      </c>
      <c r="D19" s="22">
        <v>74000</v>
      </c>
      <c r="E19" s="22">
        <v>28000</v>
      </c>
      <c r="F19" s="22">
        <v>53000</v>
      </c>
      <c r="G19" s="22">
        <v>56000</v>
      </c>
      <c r="H19" s="22">
        <v>48000</v>
      </c>
      <c r="I19" s="105">
        <f>SUM(B19:H19)</f>
        <v>368000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8701</v>
      </c>
      <c r="Q19" s="22"/>
      <c r="R19" s="61">
        <f t="shared" si="0"/>
        <v>8701</v>
      </c>
      <c r="S19" s="61">
        <f t="shared" si="1"/>
        <v>9000</v>
      </c>
      <c r="T19" s="51"/>
    </row>
    <row r="20" spans="1:21">
      <c r="A20" s="51" t="s">
        <v>96</v>
      </c>
      <c r="B20" s="22">
        <v>44600</v>
      </c>
      <c r="C20" s="22">
        <v>59493</v>
      </c>
      <c r="D20" s="22">
        <v>72400</v>
      </c>
      <c r="E20" s="22">
        <v>26700</v>
      </c>
      <c r="F20" s="22">
        <v>52050</v>
      </c>
      <c r="G20" s="22">
        <v>55100</v>
      </c>
      <c r="H20" s="22">
        <v>46710</v>
      </c>
      <c r="I20" s="105">
        <f>SUM(B20:H20)</f>
        <v>357053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0</v>
      </c>
      <c r="Q20" s="22"/>
      <c r="R20" s="61">
        <f t="shared" si="0"/>
        <v>0</v>
      </c>
      <c r="S20" s="61">
        <f t="shared" si="1"/>
        <v>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9000</v>
      </c>
      <c r="Q21" s="22"/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1986000</v>
      </c>
      <c r="H22" s="94">
        <f>SUM(H17,B20:H20)</f>
        <v>1939913</v>
      </c>
      <c r="I22" s="93">
        <f>I19-I20</f>
        <v>10947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653</v>
      </c>
    </row>
    <row r="23" spans="1:21">
      <c r="B23" s="75" t="s">
        <v>626</v>
      </c>
      <c r="C23" s="75" t="s">
        <v>627</v>
      </c>
      <c r="D23" s="75" t="s">
        <v>628</v>
      </c>
      <c r="E23" s="75" t="s">
        <v>629</v>
      </c>
      <c r="F23" s="75" t="s">
        <v>630</v>
      </c>
      <c r="G23" s="103" t="s">
        <v>631</v>
      </c>
      <c r="H23" s="102" t="s">
        <v>632</v>
      </c>
      <c r="I23" s="98" t="s">
        <v>28</v>
      </c>
      <c r="K23" s="51"/>
      <c r="L23" s="51" t="s">
        <v>482</v>
      </c>
      <c r="M23" s="51" t="s">
        <v>160</v>
      </c>
      <c r="N23" s="51" t="s">
        <v>433</v>
      </c>
      <c r="O23" s="51" t="s">
        <v>483</v>
      </c>
      <c r="P23" s="126">
        <v>10200</v>
      </c>
      <c r="Q23" s="22"/>
      <c r="R23" s="61">
        <f t="shared" si="0"/>
        <v>10200</v>
      </c>
      <c r="S23" s="61">
        <f t="shared" si="1"/>
        <v>11000</v>
      </c>
      <c r="T23" s="41" t="s">
        <v>297</v>
      </c>
    </row>
    <row r="24" spans="1:21">
      <c r="A24" s="51" t="s">
        <v>149</v>
      </c>
      <c r="B24" s="22">
        <v>31000</v>
      </c>
      <c r="C24" s="22">
        <v>56000</v>
      </c>
      <c r="D24" s="22">
        <v>116000</v>
      </c>
      <c r="E24" s="22">
        <v>35000</v>
      </c>
      <c r="F24" s="22">
        <v>82000</v>
      </c>
      <c r="G24" s="22">
        <v>17000</v>
      </c>
      <c r="H24" s="22">
        <v>31000</v>
      </c>
      <c r="I24" s="100">
        <f>SUM(B24:H24)</f>
        <v>368000</v>
      </c>
      <c r="K24" s="51"/>
      <c r="L24" s="51" t="s">
        <v>575</v>
      </c>
      <c r="M24" s="51" t="s">
        <v>160</v>
      </c>
      <c r="N24" s="51" t="s">
        <v>433</v>
      </c>
      <c r="O24" s="51" t="s">
        <v>163</v>
      </c>
      <c r="P24" s="126">
        <v>26400</v>
      </c>
      <c r="Q24" s="22"/>
      <c r="R24" s="61">
        <f t="shared" si="0"/>
        <v>26400</v>
      </c>
      <c r="S24" s="61">
        <f t="shared" si="1"/>
        <v>27000</v>
      </c>
      <c r="T24" s="41" t="s">
        <v>528</v>
      </c>
    </row>
    <row r="25" spans="1:21">
      <c r="A25" s="51" t="s">
        <v>96</v>
      </c>
      <c r="B25" s="22">
        <v>29900</v>
      </c>
      <c r="C25" s="22">
        <v>54600</v>
      </c>
      <c r="D25" s="22">
        <v>114900</v>
      </c>
      <c r="E25" s="22">
        <v>33630</v>
      </c>
      <c r="F25" s="22">
        <v>80000</v>
      </c>
      <c r="G25" s="22">
        <v>16300</v>
      </c>
      <c r="H25" s="22">
        <v>30200</v>
      </c>
      <c r="I25" s="100">
        <f>SUM(B25:H25)</f>
        <v>359530</v>
      </c>
      <c r="K25" s="51" t="s">
        <v>28</v>
      </c>
      <c r="L25" s="51"/>
      <c r="M25" s="51"/>
      <c r="N25" s="51"/>
      <c r="O25" s="51"/>
      <c r="P25" s="61">
        <f>SUM(P4:P24)</f>
        <v>1052310</v>
      </c>
      <c r="Q25" s="22"/>
      <c r="R25" s="61">
        <f>SUM(R4:R24)</f>
        <v>1052310</v>
      </c>
      <c r="S25" s="61">
        <f>ROUNDUP(R25,-3)</f>
        <v>1053000</v>
      </c>
      <c r="T25" s="51"/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97" t="s">
        <v>145</v>
      </c>
      <c r="L26" s="96"/>
      <c r="M26" s="95" t="s">
        <v>298</v>
      </c>
      <c r="P26" t="s">
        <v>362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2354000</v>
      </c>
      <c r="H27" s="94">
        <f>SUM(H22,B25:H25)</f>
        <v>2299443</v>
      </c>
      <c r="I27" s="93">
        <f>I24-I25</f>
        <v>8470</v>
      </c>
      <c r="P27" t="s">
        <v>356</v>
      </c>
      <c r="T27" s="2"/>
    </row>
    <row r="28" spans="1:21">
      <c r="K28" s="66" t="s">
        <v>126</v>
      </c>
      <c r="O28" s="66" t="s">
        <v>358</v>
      </c>
      <c r="P28" t="s">
        <v>357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100000</v>
      </c>
      <c r="C30" s="51" t="s">
        <v>97</v>
      </c>
      <c r="D30" s="91">
        <f>IFERROR(SUM(B4:H4)/A30,0)</f>
        <v>5.58</v>
      </c>
      <c r="E30" s="91">
        <f>IFERROR((SUM(B9:H9))/A31,0)</f>
        <v>2.0954545454545452</v>
      </c>
      <c r="F30" s="91">
        <f>IFERROR((SUM(B14:H14)-J46)/A32,0)</f>
        <v>2.473913043478261</v>
      </c>
      <c r="G30" s="91">
        <f>IFERROR((SUM(B19:H19)-J46)/A33,0)</f>
        <v>1.4695652173913043</v>
      </c>
      <c r="H30" s="91">
        <f>IFERROR((SUM(B24:H24)-K46)/A34,0)</f>
        <v>1.6727272727272726</v>
      </c>
      <c r="I30" s="61">
        <f>SUM(I7,I12,I17,I22,I27)</f>
        <v>54557</v>
      </c>
      <c r="K30" s="51" t="s">
        <v>135</v>
      </c>
      <c r="L30" s="51" t="s">
        <v>130</v>
      </c>
      <c r="M30" s="149">
        <v>150000</v>
      </c>
      <c r="O30" s="51" t="s">
        <v>360</v>
      </c>
      <c r="P30" s="149">
        <v>120000</v>
      </c>
      <c r="Q30" s="61">
        <f>ROUNDUP(P30,-3)</f>
        <v>120000</v>
      </c>
      <c r="S30" s="51" t="s">
        <v>115</v>
      </c>
      <c r="T30" s="140">
        <v>300000</v>
      </c>
      <c r="U30" s="148">
        <f>ROUNDUP(T30,-3)</f>
        <v>300000</v>
      </c>
    </row>
    <row r="31" spans="1:21">
      <c r="A31" s="22">
        <v>220000</v>
      </c>
      <c r="B31" s="2"/>
      <c r="C31" s="51" t="s">
        <v>96</v>
      </c>
      <c r="D31" s="91">
        <f>IFERROR(SUM(B5:H5)/A30,0)</f>
        <v>5.4767999999999999</v>
      </c>
      <c r="E31" s="91">
        <f>IFERROR((SUM(B10:H10))/A31,0)</f>
        <v>2.0421818181818181</v>
      </c>
      <c r="F31" s="91">
        <f>IFERROR((SUM(B15:H15)-J47)/A32,0)</f>
        <v>2.4169565217391304</v>
      </c>
      <c r="G31" s="91">
        <f>IFERROR((SUM(B20:H20)-J47)/A33,0)</f>
        <v>1.4219695652173914</v>
      </c>
      <c r="H31" s="91">
        <f>IFERROR((SUM(B25:H25)-K47)/A34,0)</f>
        <v>1.6342272727272726</v>
      </c>
      <c r="I31" s="41" t="s">
        <v>134</v>
      </c>
      <c r="K31" s="51" t="s">
        <v>133</v>
      </c>
      <c r="L31" s="51" t="s">
        <v>130</v>
      </c>
      <c r="M31" s="149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230000</v>
      </c>
      <c r="B32" s="2"/>
      <c r="C32" s="51" t="s">
        <v>132</v>
      </c>
      <c r="D32" s="90">
        <f>A30-SUM(B5:H5)</f>
        <v>-447680</v>
      </c>
      <c r="E32" s="90">
        <f>A31-SUM(B10:H10)</f>
        <v>-229280</v>
      </c>
      <c r="F32" s="90">
        <f>A32-SUM(B15:H15)</f>
        <v>-355900</v>
      </c>
      <c r="G32" s="90">
        <f>A33-SUM(B20:H20)</f>
        <v>-127053</v>
      </c>
      <c r="H32" s="90">
        <f>A34-SUM(B25:H25)</f>
        <v>-139530</v>
      </c>
      <c r="I32" s="61">
        <f>G27-H27</f>
        <v>54557</v>
      </c>
      <c r="K32" s="51" t="s">
        <v>131</v>
      </c>
      <c r="L32" s="51" t="s">
        <v>130</v>
      </c>
      <c r="M32" s="149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230000</v>
      </c>
      <c r="B33" s="2"/>
      <c r="C33" s="51" t="s">
        <v>129</v>
      </c>
      <c r="D33" s="89">
        <f>D32</f>
        <v>-447680</v>
      </c>
      <c r="E33" s="89">
        <f>D33+E32</f>
        <v>-676960</v>
      </c>
      <c r="F33" s="89">
        <f>E33+F32</f>
        <v>-1032860</v>
      </c>
      <c r="G33" s="89">
        <f>F33+G32</f>
        <v>-1159913</v>
      </c>
      <c r="H33" s="89">
        <f>G33+H32</f>
        <v>-1299443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220000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/>
      <c r="U34" s="148">
        <f>ROUNDUP(T34,-3)</f>
        <v>0</v>
      </c>
    </row>
    <row r="35" spans="1:21">
      <c r="A35" s="85">
        <f>SUM(A30:A34)</f>
        <v>1000000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539</v>
      </c>
      <c r="L35" s="41" t="s">
        <v>304</v>
      </c>
      <c r="M35" s="41" t="s">
        <v>28</v>
      </c>
      <c r="N35" s="22" t="s">
        <v>121</v>
      </c>
      <c r="O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2354000</v>
      </c>
      <c r="D36" s="61">
        <f>S25</f>
        <v>1053000</v>
      </c>
      <c r="E36" s="61">
        <f>SUM(M30:M32)</f>
        <v>190000</v>
      </c>
      <c r="F36" s="61">
        <f>U34</f>
        <v>0</v>
      </c>
      <c r="G36" s="61">
        <f>U30</f>
        <v>300000</v>
      </c>
      <c r="H36" s="61">
        <f>Q33</f>
        <v>120000</v>
      </c>
      <c r="I36" s="61">
        <f>U40</f>
        <v>160000</v>
      </c>
      <c r="J36" s="61">
        <f>T54</f>
        <v>366000</v>
      </c>
      <c r="K36" s="61">
        <f>U48</f>
        <v>320000</v>
      </c>
      <c r="L36" s="22">
        <f>SUM(J46:P46)</f>
        <v>30000</v>
      </c>
      <c r="M36" s="61">
        <f>SUM(C36:K36)+U51-L36</f>
        <v>4833000</v>
      </c>
      <c r="N36" s="33" t="s">
        <v>120</v>
      </c>
      <c r="O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2299443</v>
      </c>
      <c r="D37" s="61">
        <f>R25</f>
        <v>1052310</v>
      </c>
      <c r="E37" s="61">
        <f>SUM(M30:M32)</f>
        <v>190000</v>
      </c>
      <c r="F37" s="22">
        <f>T34</f>
        <v>0</v>
      </c>
      <c r="G37" s="22">
        <f>T30</f>
        <v>300000</v>
      </c>
      <c r="H37" s="61">
        <f>P33</f>
        <v>120000</v>
      </c>
      <c r="I37" s="22">
        <f>T40</f>
        <v>159800</v>
      </c>
      <c r="J37" s="22">
        <f>T55</f>
        <v>352191</v>
      </c>
      <c r="K37" s="22">
        <f>T48</f>
        <v>320000</v>
      </c>
      <c r="L37" s="22">
        <f>SUM(J47:P47)</f>
        <v>30000</v>
      </c>
      <c r="M37" s="61">
        <f>SUM(C37:K37)+T51-L37</f>
        <v>4763744</v>
      </c>
      <c r="N37" s="33" t="s">
        <v>118</v>
      </c>
      <c r="O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N38" s="33" t="s">
        <v>115</v>
      </c>
      <c r="O38" s="22">
        <v>200000</v>
      </c>
      <c r="P38" s="51" t="s">
        <v>360</v>
      </c>
      <c r="Q38" s="22">
        <v>120000</v>
      </c>
      <c r="S38" s="51" t="s">
        <v>650</v>
      </c>
      <c r="T38" s="22">
        <v>30800</v>
      </c>
      <c r="U38" s="61">
        <f>ROUNDUP(T38,-3)</f>
        <v>31000</v>
      </c>
    </row>
    <row r="39" spans="1:21">
      <c r="L39" s="2"/>
      <c r="M39" s="82"/>
      <c r="N39" s="84"/>
      <c r="P39" s="51" t="s">
        <v>361</v>
      </c>
      <c r="Q39" s="22">
        <v>50000</v>
      </c>
      <c r="S39" s="83" t="s">
        <v>649</v>
      </c>
      <c r="T39" s="22">
        <v>129000</v>
      </c>
      <c r="U39" s="61">
        <f>ROUNDUP(T39,-3)</f>
        <v>129000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159800</v>
      </c>
      <c r="U40" s="81">
        <f>SUM(U38:U39)</f>
        <v>160000</v>
      </c>
    </row>
    <row r="41" spans="1:21">
      <c r="B41" s="79" t="s">
        <v>97</v>
      </c>
      <c r="C41" s="22">
        <f>C42</f>
        <v>2785740</v>
      </c>
      <c r="D41" s="61">
        <f>M36</f>
        <v>4833000</v>
      </c>
      <c r="E41" s="145">
        <f>C41-D41</f>
        <v>-2047260</v>
      </c>
      <c r="F41" s="77" t="str">
        <f>IF(E41&gt;0,"SUCCESS","FAIL")</f>
        <v>FAIL</v>
      </c>
      <c r="H41" s="61">
        <f>C36-C37</f>
        <v>54557</v>
      </c>
      <c r="I41" s="61">
        <f>SUM(I7,I12,I17,I22,I27)</f>
        <v>54557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2785740</v>
      </c>
      <c r="D42" s="61">
        <f>M37</f>
        <v>4763744</v>
      </c>
      <c r="E42" s="145">
        <f>C42-D42</f>
        <v>-1978004</v>
      </c>
      <c r="F42" s="77" t="str">
        <f>IF(E42&gt;0,"SUCCESS","FAIL")</f>
        <v>FAIL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  <c r="S43" s="66" t="s">
        <v>539</v>
      </c>
      <c r="T43" s="2"/>
      <c r="U43" s="2"/>
    </row>
    <row r="44" spans="1:21">
      <c r="I44" s="41" t="s">
        <v>99</v>
      </c>
      <c r="J44" s="75">
        <v>46265</v>
      </c>
      <c r="K44" s="41"/>
      <c r="L44" s="41"/>
      <c r="M44" s="41"/>
      <c r="N44" s="41"/>
      <c r="O44" s="41"/>
      <c r="P44" s="41"/>
      <c r="S44" s="51" t="s">
        <v>98</v>
      </c>
      <c r="T44" s="51" t="s">
        <v>108</v>
      </c>
      <c r="U44" s="41" t="s">
        <v>117</v>
      </c>
    </row>
    <row r="45" spans="1:21" ht="19.8" thickBot="1">
      <c r="B45" t="s">
        <v>109</v>
      </c>
      <c r="E45" s="111" t="s">
        <v>311</v>
      </c>
      <c r="I45" s="41" t="s">
        <v>98</v>
      </c>
      <c r="J45" s="41" t="s">
        <v>658</v>
      </c>
      <c r="K45" s="41"/>
      <c r="L45" s="41"/>
      <c r="M45" s="41"/>
      <c r="N45" s="41"/>
      <c r="O45" s="41"/>
      <c r="P45" s="41"/>
      <c r="S45" s="41">
        <v>20260606</v>
      </c>
      <c r="T45" s="33">
        <v>200000</v>
      </c>
      <c r="U45" s="159">
        <f>ROUNDUP(T45,-3)</f>
        <v>200000</v>
      </c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>
        <v>30000</v>
      </c>
      <c r="K46" s="33"/>
      <c r="L46" s="33"/>
      <c r="M46" s="33"/>
      <c r="N46" s="33"/>
      <c r="O46" s="33"/>
      <c r="P46" s="33"/>
      <c r="S46" s="160" t="s">
        <v>689</v>
      </c>
      <c r="T46" s="33">
        <v>100000</v>
      </c>
      <c r="U46" s="159">
        <f>ROUNDUP(T46,-3)</f>
        <v>100000</v>
      </c>
    </row>
    <row r="47" spans="1:21" ht="19.8" thickBot="1">
      <c r="B47" s="51" t="s">
        <v>104</v>
      </c>
      <c r="C47" s="22">
        <v>2785740</v>
      </c>
      <c r="E47" s="70">
        <f>C36</f>
        <v>2354000</v>
      </c>
      <c r="F47" s="69">
        <f>'[1]8월'!$W$12</f>
        <v>2354000</v>
      </c>
      <c r="G47" s="68" t="b">
        <f>IF(G27='[1]8월'!$W$12,TRUE,FALSE)</f>
        <v>1</v>
      </c>
      <c r="I47" s="41" t="s">
        <v>96</v>
      </c>
      <c r="J47" s="33">
        <v>30000</v>
      </c>
      <c r="K47" s="33"/>
      <c r="L47" s="33"/>
      <c r="M47" s="33"/>
      <c r="N47" s="33"/>
      <c r="O47" s="33"/>
      <c r="P47" s="33"/>
      <c r="S47" s="160" t="s">
        <v>690</v>
      </c>
      <c r="T47" s="22">
        <v>20000</v>
      </c>
      <c r="U47" s="22">
        <v>20000</v>
      </c>
    </row>
    <row r="48" spans="1:21">
      <c r="B48" s="51" t="s">
        <v>100</v>
      </c>
      <c r="C48" s="22">
        <v>0</v>
      </c>
      <c r="S48" s="161" t="s">
        <v>28</v>
      </c>
      <c r="T48" s="161">
        <f>SUM(T45:T47)</f>
        <v>320000</v>
      </c>
      <c r="U48" s="161">
        <f>SUM(U45:U47)</f>
        <v>320000</v>
      </c>
    </row>
    <row r="49" spans="2:21">
      <c r="B49" s="51" t="s">
        <v>103</v>
      </c>
      <c r="C49" s="141">
        <v>0</v>
      </c>
      <c r="S49" s="66" t="s">
        <v>652</v>
      </c>
    </row>
    <row r="50" spans="2:21">
      <c r="I50" s="2"/>
      <c r="S50" s="51" t="s">
        <v>98</v>
      </c>
      <c r="T50" s="51" t="s">
        <v>108</v>
      </c>
      <c r="U50" s="41" t="s">
        <v>117</v>
      </c>
    </row>
    <row r="51" spans="2:21">
      <c r="S51" s="51"/>
      <c r="T51" s="110"/>
      <c r="U51" s="61">
        <f>ROUNDUP(T51,-3)</f>
        <v>0</v>
      </c>
    </row>
    <row r="52" spans="2:21">
      <c r="B52" s="66" t="s">
        <v>16</v>
      </c>
      <c r="C52" s="2"/>
      <c r="D52" s="2"/>
      <c r="E52" s="2"/>
      <c r="F52" s="2"/>
    </row>
    <row r="53" spans="2:21">
      <c r="B53" s="41" t="s">
        <v>99</v>
      </c>
      <c r="C53" s="75">
        <v>46243</v>
      </c>
      <c r="D53" s="41" t="s">
        <v>645</v>
      </c>
      <c r="E53" s="41" t="s">
        <v>645</v>
      </c>
      <c r="F53" s="41" t="s">
        <v>655</v>
      </c>
      <c r="G53" s="41"/>
      <c r="H53" s="41"/>
      <c r="I53" s="41"/>
      <c r="J53" s="49"/>
      <c r="K53" s="41"/>
      <c r="L53" s="146"/>
      <c r="M53" s="146"/>
      <c r="N53" s="146"/>
      <c r="O53" s="146"/>
      <c r="S53" s="66" t="s">
        <v>102</v>
      </c>
      <c r="T53" s="2"/>
    </row>
    <row r="54" spans="2:21">
      <c r="B54" s="41" t="s">
        <v>98</v>
      </c>
      <c r="C54" s="41" t="s">
        <v>644</v>
      </c>
      <c r="D54" s="41" t="s">
        <v>431</v>
      </c>
      <c r="E54" s="41" t="s">
        <v>431</v>
      </c>
      <c r="F54" s="41" t="s">
        <v>656</v>
      </c>
      <c r="G54" s="41"/>
      <c r="H54" s="41"/>
      <c r="I54" s="41"/>
      <c r="J54" s="49"/>
      <c r="K54" s="41"/>
      <c r="L54" s="2"/>
      <c r="M54" s="2"/>
      <c r="N54" s="2"/>
      <c r="O54" s="2"/>
      <c r="S54" s="41" t="s">
        <v>97</v>
      </c>
      <c r="T54" s="33">
        <f>SUM(C55:K55)-SUM(C61:D61)</f>
        <v>366000</v>
      </c>
    </row>
    <row r="55" spans="2:21">
      <c r="B55" s="41" t="s">
        <v>97</v>
      </c>
      <c r="C55" s="33">
        <v>193000</v>
      </c>
      <c r="D55" s="33">
        <v>100000</v>
      </c>
      <c r="E55" s="33">
        <v>114000</v>
      </c>
      <c r="F55" s="33">
        <v>869000</v>
      </c>
      <c r="G55" s="33"/>
      <c r="H55" s="33"/>
      <c r="I55" s="33"/>
      <c r="J55" s="46"/>
      <c r="K55" s="33"/>
      <c r="L55" s="147"/>
      <c r="M55" s="147"/>
      <c r="N55" s="147"/>
      <c r="O55" s="147"/>
      <c r="S55" s="41" t="s">
        <v>96</v>
      </c>
      <c r="T55" s="33">
        <f>SUM(C56:K56)-SUM(C62:D62)</f>
        <v>352191</v>
      </c>
    </row>
    <row r="56" spans="2:21">
      <c r="B56" s="41" t="s">
        <v>96</v>
      </c>
      <c r="C56" s="33">
        <v>192311</v>
      </c>
      <c r="D56" s="33">
        <v>99200</v>
      </c>
      <c r="E56" s="33">
        <v>113100</v>
      </c>
      <c r="F56" s="33">
        <v>857580</v>
      </c>
      <c r="G56" s="33"/>
      <c r="H56" s="33"/>
      <c r="I56" s="33"/>
      <c r="J56" s="46"/>
      <c r="K56" s="33"/>
      <c r="L56" s="147"/>
      <c r="M56" s="147"/>
      <c r="N56" s="147"/>
      <c r="O56" s="147"/>
    </row>
    <row r="58" spans="2:21">
      <c r="B58" s="66" t="s">
        <v>101</v>
      </c>
      <c r="C58" s="2"/>
      <c r="D58" s="2"/>
      <c r="F58" s="66" t="s">
        <v>100</v>
      </c>
      <c r="G58" s="2"/>
    </row>
    <row r="59" spans="2:21">
      <c r="B59" s="41" t="s">
        <v>99</v>
      </c>
      <c r="C59" s="75">
        <v>46253</v>
      </c>
      <c r="D59" s="75" t="s">
        <v>655</v>
      </c>
      <c r="F59" s="41" t="s">
        <v>99</v>
      </c>
      <c r="G59" s="75"/>
      <c r="H59" s="41"/>
      <c r="I59" s="41"/>
      <c r="J59" s="41"/>
    </row>
    <row r="60" spans="2:21">
      <c r="B60" s="41" t="s">
        <v>98</v>
      </c>
      <c r="C60" s="41" t="s">
        <v>651</v>
      </c>
      <c r="D60" s="41" t="s">
        <v>657</v>
      </c>
      <c r="F60" s="41" t="s">
        <v>98</v>
      </c>
      <c r="G60" s="41"/>
      <c r="H60" s="41"/>
      <c r="I60" s="41"/>
      <c r="J60" s="41"/>
    </row>
    <row r="61" spans="2:21">
      <c r="B61" s="41" t="s">
        <v>97</v>
      </c>
      <c r="C61" s="33">
        <v>96000</v>
      </c>
      <c r="D61" s="33">
        <v>814000</v>
      </c>
      <c r="F61" s="41" t="s">
        <v>97</v>
      </c>
      <c r="G61" s="33"/>
      <c r="H61" s="33"/>
      <c r="I61" s="33"/>
      <c r="J61" s="33"/>
    </row>
    <row r="62" spans="2:21">
      <c r="B62" s="41" t="s">
        <v>96</v>
      </c>
      <c r="C62" s="33">
        <v>96000</v>
      </c>
      <c r="D62" s="33">
        <v>814000</v>
      </c>
      <c r="E62" s="2"/>
      <c r="F62" s="2"/>
    </row>
  </sheetData>
  <mergeCells count="1">
    <mergeCell ref="L1:Q2"/>
  </mergeCells>
  <phoneticPr fontId="4" type="noConversion"/>
  <conditionalFormatting sqref="F41:F42">
    <cfRule type="cellIs" dxfId="3" priority="1" operator="equal">
      <formula>"FAIL"</formula>
    </cfRule>
    <cfRule type="cellIs" dxfId="2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BE29-A9EB-EE4E-9D21-026FD379C677}">
  <sheetPr codeName="Sheet13"/>
  <dimension ref="A1:U62"/>
  <sheetViews>
    <sheetView tabSelected="1" topLeftCell="A28" zoomScaleNormal="100" workbookViewId="0">
      <selection activeCell="J8" sqref="J8"/>
    </sheetView>
  </sheetViews>
  <sheetFormatPr defaultColWidth="11.1796875" defaultRowHeight="19.2"/>
  <cols>
    <col min="1" max="1" width="13.81640625" bestFit="1" customWidth="1"/>
    <col min="2" max="2" width="10.7265625" customWidth="1"/>
    <col min="5" max="5" width="11.54296875" bestFit="1" customWidth="1"/>
    <col min="7" max="7" width="11.7265625" bestFit="1" customWidth="1"/>
    <col min="9" max="9" width="12" bestFit="1" customWidth="1"/>
    <col min="11" max="11" width="12" bestFit="1" customWidth="1"/>
    <col min="12" max="12" width="18" bestFit="1" customWidth="1"/>
    <col min="14" max="14" width="14" bestFit="1" customWidth="1"/>
    <col min="15" max="15" width="17.54296875" bestFit="1" customWidth="1"/>
    <col min="16" max="16" width="12.54296875" bestFit="1" customWidth="1"/>
    <col min="19" max="19" width="11.1796875" style="1"/>
  </cols>
  <sheetData>
    <row r="1" spans="1:20">
      <c r="A1" s="111" t="s">
        <v>128</v>
      </c>
      <c r="K1" s="111" t="s">
        <v>127</v>
      </c>
      <c r="L1" s="272" t="s">
        <v>267</v>
      </c>
      <c r="M1" s="273"/>
      <c r="N1" s="273"/>
      <c r="O1" s="273"/>
      <c r="P1" s="273"/>
      <c r="Q1" s="273"/>
    </row>
    <row r="2" spans="1:20">
      <c r="B2" s="41" t="s">
        <v>243</v>
      </c>
      <c r="C2" s="41" t="s">
        <v>344</v>
      </c>
      <c r="D2" s="41" t="s">
        <v>345</v>
      </c>
      <c r="E2" s="41" t="s">
        <v>346</v>
      </c>
      <c r="F2" s="41" t="s">
        <v>347</v>
      </c>
      <c r="G2" s="41" t="s">
        <v>348</v>
      </c>
      <c r="H2" s="41" t="s">
        <v>237</v>
      </c>
      <c r="I2" s="51"/>
      <c r="L2" s="274"/>
      <c r="M2" s="274"/>
      <c r="N2" s="274"/>
      <c r="O2" s="274"/>
      <c r="P2" s="274"/>
      <c r="Q2" s="274"/>
    </row>
    <row r="3" spans="1:20">
      <c r="A3" s="51"/>
      <c r="B3" s="75"/>
      <c r="C3" s="75" t="s">
        <v>659</v>
      </c>
      <c r="D3" s="75" t="s">
        <v>660</v>
      </c>
      <c r="E3" s="75" t="s">
        <v>661</v>
      </c>
      <c r="F3" s="75" t="s">
        <v>662</v>
      </c>
      <c r="G3" s="103" t="s">
        <v>663</v>
      </c>
      <c r="H3" s="102" t="s">
        <v>664</v>
      </c>
      <c r="I3" s="98" t="s">
        <v>28</v>
      </c>
      <c r="K3" s="51" t="s">
        <v>98</v>
      </c>
      <c r="L3" s="51" t="s">
        <v>232</v>
      </c>
      <c r="M3" s="51" t="s">
        <v>231</v>
      </c>
      <c r="N3" s="51" t="s">
        <v>230</v>
      </c>
      <c r="O3" s="51" t="s">
        <v>229</v>
      </c>
      <c r="P3" s="51" t="s">
        <v>108</v>
      </c>
      <c r="Q3" s="33" t="s">
        <v>263</v>
      </c>
      <c r="R3" s="41" t="s">
        <v>262</v>
      </c>
      <c r="S3" s="41" t="s">
        <v>117</v>
      </c>
      <c r="T3" s="41" t="s">
        <v>253</v>
      </c>
    </row>
    <row r="4" spans="1:20">
      <c r="A4" s="51" t="s">
        <v>149</v>
      </c>
      <c r="B4" s="22"/>
      <c r="C4" s="22">
        <v>44000</v>
      </c>
      <c r="D4" s="22">
        <v>57000</v>
      </c>
      <c r="E4" s="22">
        <v>74000</v>
      </c>
      <c r="F4" s="22">
        <v>92000</v>
      </c>
      <c r="G4" s="22">
        <v>66000</v>
      </c>
      <c r="H4" s="22">
        <f>20000+16000</f>
        <v>36000</v>
      </c>
      <c r="I4" s="108">
        <f>SUM(B4:H4)</f>
        <v>369000</v>
      </c>
      <c r="K4" s="51" t="s">
        <v>228</v>
      </c>
      <c r="L4" s="51"/>
      <c r="M4" s="51" t="s">
        <v>189</v>
      </c>
      <c r="N4" s="51"/>
      <c r="O4" s="51" t="s">
        <v>639</v>
      </c>
      <c r="P4" s="126">
        <v>391000</v>
      </c>
      <c r="Q4" s="22"/>
      <c r="R4" s="61">
        <f t="shared" ref="R4:R24" si="0">P4-Q4</f>
        <v>391000</v>
      </c>
      <c r="S4" s="61">
        <f t="shared" ref="S4:S24" si="1">ROUNDUP(R4,-3)</f>
        <v>391000</v>
      </c>
      <c r="T4" s="51"/>
    </row>
    <row r="5" spans="1:20">
      <c r="A5" s="51" t="s">
        <v>96</v>
      </c>
      <c r="B5" s="22"/>
      <c r="C5" s="22">
        <v>42890</v>
      </c>
      <c r="D5" s="22">
        <v>55590</v>
      </c>
      <c r="E5" s="22">
        <v>73120</v>
      </c>
      <c r="F5" s="110">
        <v>91100</v>
      </c>
      <c r="G5" s="22">
        <v>64500</v>
      </c>
      <c r="H5" s="22">
        <f>19000+15670</f>
        <v>34670</v>
      </c>
      <c r="I5" s="108">
        <f>SUM(B5:H5)</f>
        <v>361870</v>
      </c>
      <c r="K5" s="51" t="s">
        <v>226</v>
      </c>
      <c r="L5" s="109" t="s">
        <v>764</v>
      </c>
      <c r="M5" s="51" t="s">
        <v>160</v>
      </c>
      <c r="N5" s="51" t="s">
        <v>188</v>
      </c>
      <c r="O5" s="51" t="s">
        <v>225</v>
      </c>
      <c r="P5" s="101">
        <v>170350</v>
      </c>
      <c r="Q5" s="22"/>
      <c r="R5" s="61">
        <f>P5-Q5</f>
        <v>170350</v>
      </c>
      <c r="S5" s="61">
        <f t="shared" si="1"/>
        <v>171000</v>
      </c>
      <c r="T5" s="51"/>
    </row>
    <row r="6" spans="1:20">
      <c r="A6" s="51"/>
      <c r="B6" s="51"/>
      <c r="C6" s="51"/>
      <c r="D6" s="51"/>
      <c r="E6" s="51"/>
      <c r="F6" s="51"/>
      <c r="G6" s="99" t="s">
        <v>148</v>
      </c>
      <c r="H6" s="99" t="s">
        <v>147</v>
      </c>
      <c r="I6" s="98" t="s">
        <v>146</v>
      </c>
      <c r="K6" s="51" t="s">
        <v>224</v>
      </c>
      <c r="L6" s="109" t="s">
        <v>764</v>
      </c>
      <c r="M6" s="51" t="s">
        <v>160</v>
      </c>
      <c r="N6" s="51" t="s">
        <v>188</v>
      </c>
      <c r="O6" s="51" t="s">
        <v>223</v>
      </c>
      <c r="P6" s="126">
        <v>7690</v>
      </c>
      <c r="Q6" s="22"/>
      <c r="R6" s="61">
        <f t="shared" si="0"/>
        <v>7690</v>
      </c>
      <c r="S6" s="61">
        <f t="shared" si="1"/>
        <v>8000</v>
      </c>
      <c r="T6" s="51"/>
    </row>
    <row r="7" spans="1:20">
      <c r="A7" s="51"/>
      <c r="B7" s="51"/>
      <c r="C7" s="51"/>
      <c r="D7" s="51"/>
      <c r="E7" s="51"/>
      <c r="F7" s="51"/>
      <c r="G7" s="94">
        <f>I4</f>
        <v>369000</v>
      </c>
      <c r="H7" s="94">
        <f>SUM(B5:H5)</f>
        <v>361870</v>
      </c>
      <c r="I7" s="93">
        <f>I4-I5</f>
        <v>7130</v>
      </c>
      <c r="K7" s="51" t="s">
        <v>222</v>
      </c>
      <c r="L7" s="51" t="s">
        <v>252</v>
      </c>
      <c r="M7" s="51" t="s">
        <v>160</v>
      </c>
      <c r="N7" s="51" t="s">
        <v>221</v>
      </c>
      <c r="O7" s="51" t="s">
        <v>220</v>
      </c>
      <c r="P7" s="127">
        <v>143056</v>
      </c>
      <c r="Q7" s="22"/>
      <c r="R7" s="61">
        <f>P7-Q7</f>
        <v>143056</v>
      </c>
      <c r="S7" s="61">
        <f t="shared" si="1"/>
        <v>144000</v>
      </c>
      <c r="T7" s="51"/>
    </row>
    <row r="8" spans="1:20">
      <c r="A8" s="51"/>
      <c r="B8" s="75" t="s">
        <v>665</v>
      </c>
      <c r="C8" s="75" t="s">
        <v>666</v>
      </c>
      <c r="D8" s="75" t="s">
        <v>667</v>
      </c>
      <c r="E8" s="75" t="s">
        <v>668</v>
      </c>
      <c r="F8" s="75" t="s">
        <v>669</v>
      </c>
      <c r="G8" s="103" t="s">
        <v>670</v>
      </c>
      <c r="H8" s="102" t="s">
        <v>671</v>
      </c>
      <c r="I8" s="98" t="s">
        <v>28</v>
      </c>
      <c r="K8" s="51" t="s">
        <v>212</v>
      </c>
      <c r="L8" s="51" t="s">
        <v>211</v>
      </c>
      <c r="M8" s="51" t="s">
        <v>160</v>
      </c>
      <c r="N8" s="51" t="s">
        <v>188</v>
      </c>
      <c r="O8" s="51" t="s">
        <v>210</v>
      </c>
      <c r="P8" s="112">
        <v>53620</v>
      </c>
      <c r="Q8" s="22"/>
      <c r="R8" s="61">
        <f t="shared" si="0"/>
        <v>53620</v>
      </c>
      <c r="S8" s="61">
        <f t="shared" si="1"/>
        <v>54000</v>
      </c>
      <c r="T8" s="51"/>
    </row>
    <row r="9" spans="1:20">
      <c r="A9" s="51" t="s">
        <v>149</v>
      </c>
      <c r="B9" s="22">
        <f>5000+10000+5000+3000+6000</f>
        <v>29000</v>
      </c>
      <c r="C9" s="22">
        <v>31000</v>
      </c>
      <c r="D9" s="22">
        <v>30000</v>
      </c>
      <c r="E9" s="22">
        <v>142000</v>
      </c>
      <c r="F9" s="22">
        <v>30000</v>
      </c>
      <c r="G9" s="22">
        <v>78000</v>
      </c>
      <c r="H9" s="22">
        <v>4000</v>
      </c>
      <c r="I9" s="108">
        <f>SUM(B9:H9)</f>
        <v>344000</v>
      </c>
      <c r="K9" s="51"/>
      <c r="L9" s="51" t="s">
        <v>209</v>
      </c>
      <c r="M9" s="51" t="s">
        <v>151</v>
      </c>
      <c r="N9" s="51" t="s">
        <v>188</v>
      </c>
      <c r="O9" s="51" t="s">
        <v>208</v>
      </c>
      <c r="P9" s="126">
        <v>12400</v>
      </c>
      <c r="Q9" s="22"/>
      <c r="R9" s="61">
        <f t="shared" si="0"/>
        <v>12400</v>
      </c>
      <c r="S9" s="61">
        <f t="shared" si="1"/>
        <v>13000</v>
      </c>
      <c r="T9" s="51"/>
    </row>
    <row r="10" spans="1:20">
      <c r="A10" s="51" t="s">
        <v>96</v>
      </c>
      <c r="B10" s="22">
        <v>26470</v>
      </c>
      <c r="C10" s="22">
        <v>27300</v>
      </c>
      <c r="D10" s="22">
        <v>29020</v>
      </c>
      <c r="E10" s="22">
        <v>140201</v>
      </c>
      <c r="F10" s="22">
        <v>28000</v>
      </c>
      <c r="G10" s="22">
        <v>76400</v>
      </c>
      <c r="H10" s="22">
        <v>3300</v>
      </c>
      <c r="I10" s="108">
        <f>SUM(B10:H10)</f>
        <v>330691</v>
      </c>
      <c r="K10" s="51" t="s">
        <v>207</v>
      </c>
      <c r="L10" s="51" t="s">
        <v>634</v>
      </c>
      <c r="M10" s="51" t="s">
        <v>160</v>
      </c>
      <c r="N10" s="51" t="s">
        <v>188</v>
      </c>
      <c r="O10" s="188" t="s">
        <v>640</v>
      </c>
      <c r="P10" s="131">
        <v>27610</v>
      </c>
      <c r="Q10" s="22"/>
      <c r="R10" s="61">
        <f t="shared" si="0"/>
        <v>27610</v>
      </c>
      <c r="S10" s="61">
        <f t="shared" si="1"/>
        <v>28000</v>
      </c>
      <c r="T10" s="51"/>
    </row>
    <row r="11" spans="1:20">
      <c r="A11" s="51"/>
      <c r="B11" s="51"/>
      <c r="C11" s="51"/>
      <c r="D11" s="51"/>
      <c r="E11" s="51"/>
      <c r="F11" s="51"/>
      <c r="G11" s="99" t="s">
        <v>148</v>
      </c>
      <c r="H11" s="99" t="s">
        <v>147</v>
      </c>
      <c r="I11" s="98" t="s">
        <v>146</v>
      </c>
      <c r="K11" s="51" t="s">
        <v>203</v>
      </c>
      <c r="L11" s="51" t="s">
        <v>574</v>
      </c>
      <c r="M11" s="51" t="s">
        <v>577</v>
      </c>
      <c r="N11" s="51" t="s">
        <v>188</v>
      </c>
      <c r="O11" s="51" t="s">
        <v>578</v>
      </c>
      <c r="P11" s="126">
        <v>149300</v>
      </c>
      <c r="Q11" s="22"/>
      <c r="R11" s="61">
        <f t="shared" si="0"/>
        <v>149300</v>
      </c>
      <c r="S11" s="61">
        <f t="shared" si="1"/>
        <v>150000</v>
      </c>
      <c r="T11" s="51"/>
    </row>
    <row r="12" spans="1:20">
      <c r="A12" s="51"/>
      <c r="B12" s="51"/>
      <c r="C12" s="51"/>
      <c r="D12" s="51"/>
      <c r="E12" s="51"/>
      <c r="F12" s="51"/>
      <c r="G12" s="94">
        <f>G7+SUM(B9:H9)</f>
        <v>713000</v>
      </c>
      <c r="H12" s="94">
        <f>SUM(H7,B10:H10)</f>
        <v>692561</v>
      </c>
      <c r="I12" s="93">
        <f>I9-I10</f>
        <v>13309</v>
      </c>
      <c r="K12" s="51"/>
      <c r="L12" s="51"/>
      <c r="M12" s="51"/>
      <c r="N12" s="51"/>
      <c r="O12" s="51"/>
      <c r="P12" s="127"/>
      <c r="Q12" s="22"/>
      <c r="R12" s="61">
        <f t="shared" si="0"/>
        <v>0</v>
      </c>
      <c r="S12" s="61">
        <f t="shared" si="1"/>
        <v>0</v>
      </c>
      <c r="T12" s="51"/>
    </row>
    <row r="13" spans="1:20">
      <c r="B13" s="75" t="s">
        <v>672</v>
      </c>
      <c r="C13" s="75" t="s">
        <v>673</v>
      </c>
      <c r="D13" s="75" t="s">
        <v>674</v>
      </c>
      <c r="E13" s="75" t="s">
        <v>675</v>
      </c>
      <c r="F13" s="75" t="s">
        <v>676</v>
      </c>
      <c r="G13" s="103" t="s">
        <v>677</v>
      </c>
      <c r="H13" s="102" t="s">
        <v>678</v>
      </c>
      <c r="I13" s="98" t="s">
        <v>28</v>
      </c>
      <c r="K13" s="51" t="s">
        <v>636</v>
      </c>
      <c r="L13" s="51" t="s">
        <v>635</v>
      </c>
      <c r="M13" s="51" t="s">
        <v>189</v>
      </c>
      <c r="N13" s="51" t="s">
        <v>188</v>
      </c>
      <c r="O13" s="51" t="s">
        <v>638</v>
      </c>
      <c r="P13" s="126">
        <v>93420</v>
      </c>
      <c r="Q13" s="22"/>
      <c r="R13" s="61">
        <f t="shared" si="0"/>
        <v>93420</v>
      </c>
      <c r="S13" s="61">
        <f t="shared" si="1"/>
        <v>94000</v>
      </c>
      <c r="T13" s="51"/>
    </row>
    <row r="14" spans="1:20">
      <c r="A14" s="51" t="s">
        <v>149</v>
      </c>
      <c r="B14" s="22">
        <v>14000</v>
      </c>
      <c r="C14" s="22">
        <v>16000</v>
      </c>
      <c r="D14" s="22">
        <v>69000</v>
      </c>
      <c r="E14" s="22">
        <v>55000</v>
      </c>
      <c r="F14" s="22">
        <v>199000</v>
      </c>
      <c r="G14" s="22">
        <f>49000+9000+12000+11000</f>
        <v>81000</v>
      </c>
      <c r="H14" s="22">
        <v>25000</v>
      </c>
      <c r="I14" s="107">
        <f>SUM(B14:H14)</f>
        <v>459000</v>
      </c>
      <c r="J14" s="104"/>
      <c r="K14" s="52"/>
      <c r="L14" s="51"/>
      <c r="M14" s="51"/>
      <c r="N14" s="51"/>
      <c r="O14" s="51"/>
      <c r="P14" s="127"/>
      <c r="Q14" s="22"/>
      <c r="R14" s="61">
        <f t="shared" si="0"/>
        <v>0</v>
      </c>
      <c r="S14" s="61">
        <f t="shared" si="1"/>
        <v>0</v>
      </c>
      <c r="T14" s="51"/>
    </row>
    <row r="15" spans="1:20">
      <c r="A15" s="51" t="s">
        <v>96</v>
      </c>
      <c r="B15" s="22">
        <v>13400</v>
      </c>
      <c r="C15" s="22">
        <v>15100</v>
      </c>
      <c r="D15" s="22">
        <v>68190</v>
      </c>
      <c r="E15" s="22">
        <v>53900</v>
      </c>
      <c r="F15" s="22">
        <v>196170</v>
      </c>
      <c r="G15" s="22">
        <f>48500+9000+11100+10400</f>
        <v>79000</v>
      </c>
      <c r="H15" s="22">
        <v>23950</v>
      </c>
      <c r="I15" s="107">
        <f>SUM(B15:H15)</f>
        <v>449710</v>
      </c>
      <c r="J15" s="104"/>
      <c r="K15" s="51" t="s">
        <v>186</v>
      </c>
      <c r="L15" s="51" t="s">
        <v>777</v>
      </c>
      <c r="M15" s="51" t="s">
        <v>151</v>
      </c>
      <c r="N15" s="51"/>
      <c r="O15" s="51" t="s">
        <v>180</v>
      </c>
      <c r="P15" s="112">
        <v>29000</v>
      </c>
      <c r="Q15" s="22"/>
      <c r="R15" s="61">
        <f t="shared" si="0"/>
        <v>29000</v>
      </c>
      <c r="S15" s="61">
        <f t="shared" si="1"/>
        <v>29000</v>
      </c>
      <c r="T15" s="51"/>
    </row>
    <row r="16" spans="1:20">
      <c r="A16" s="51"/>
      <c r="B16" s="51"/>
      <c r="C16" s="51"/>
      <c r="D16" s="51"/>
      <c r="E16" s="51"/>
      <c r="F16" s="51"/>
      <c r="G16" s="99" t="s">
        <v>148</v>
      </c>
      <c r="H16" s="99" t="s">
        <v>147</v>
      </c>
      <c r="I16" s="98" t="s">
        <v>146</v>
      </c>
      <c r="K16" s="51"/>
      <c r="L16" s="51" t="s">
        <v>185</v>
      </c>
      <c r="M16" s="51" t="s">
        <v>151</v>
      </c>
      <c r="N16" s="51" t="s">
        <v>184</v>
      </c>
      <c r="O16" s="51" t="s">
        <v>183</v>
      </c>
      <c r="P16" s="187">
        <v>7890</v>
      </c>
      <c r="Q16" s="22"/>
      <c r="R16" s="61">
        <f t="shared" si="0"/>
        <v>7890</v>
      </c>
      <c r="S16" s="61">
        <f t="shared" si="1"/>
        <v>8000</v>
      </c>
      <c r="T16" s="51"/>
    </row>
    <row r="17" spans="1:21">
      <c r="A17" s="51"/>
      <c r="B17" s="51"/>
      <c r="C17" s="51"/>
      <c r="D17" s="51"/>
      <c r="E17" s="51"/>
      <c r="F17" s="51"/>
      <c r="G17" s="94">
        <f>G12+SUM(B14:H14)</f>
        <v>1172000</v>
      </c>
      <c r="H17" s="94">
        <f>SUM(H12,B15:H15)</f>
        <v>1142271</v>
      </c>
      <c r="I17" s="93">
        <f>I14-I15</f>
        <v>9290</v>
      </c>
      <c r="K17" s="51"/>
      <c r="L17" s="51" t="s">
        <v>182</v>
      </c>
      <c r="M17" s="51" t="s">
        <v>151</v>
      </c>
      <c r="N17" s="51" t="s">
        <v>181</v>
      </c>
      <c r="O17" s="51" t="s">
        <v>180</v>
      </c>
      <c r="P17" s="126">
        <v>4890</v>
      </c>
      <c r="Q17" s="22"/>
      <c r="R17" s="61">
        <f t="shared" si="0"/>
        <v>4890</v>
      </c>
      <c r="S17" s="61">
        <f t="shared" si="1"/>
        <v>5000</v>
      </c>
      <c r="T17" s="51"/>
    </row>
    <row r="18" spans="1:21">
      <c r="B18" s="75" t="s">
        <v>679</v>
      </c>
      <c r="C18" s="75" t="s">
        <v>680</v>
      </c>
      <c r="D18" s="75" t="s">
        <v>681</v>
      </c>
      <c r="E18" s="102" t="s">
        <v>682</v>
      </c>
      <c r="F18" s="102" t="s">
        <v>683</v>
      </c>
      <c r="G18" s="102" t="s">
        <v>684</v>
      </c>
      <c r="H18" s="102" t="s">
        <v>685</v>
      </c>
      <c r="I18" s="98" t="s">
        <v>28</v>
      </c>
      <c r="K18" s="51"/>
      <c r="L18" s="51" t="s">
        <v>172</v>
      </c>
      <c r="M18" s="51" t="s">
        <v>151</v>
      </c>
      <c r="N18" s="51" t="s">
        <v>150</v>
      </c>
      <c r="O18" s="51" t="s">
        <v>171</v>
      </c>
      <c r="P18" s="126">
        <f>1800+8995</f>
        <v>10795</v>
      </c>
      <c r="Q18" s="22"/>
      <c r="R18" s="61">
        <f t="shared" si="0"/>
        <v>10795</v>
      </c>
      <c r="S18" s="61">
        <f t="shared" si="1"/>
        <v>11000</v>
      </c>
      <c r="T18" s="51"/>
    </row>
    <row r="19" spans="1:21">
      <c r="A19" s="51" t="s">
        <v>149</v>
      </c>
      <c r="B19" s="22">
        <v>35000</v>
      </c>
      <c r="C19" s="22">
        <v>29000</v>
      </c>
      <c r="D19" s="22">
        <v>43000</v>
      </c>
      <c r="E19" s="22">
        <v>250000</v>
      </c>
      <c r="F19" s="22">
        <v>62000</v>
      </c>
      <c r="G19" s="22">
        <v>52000</v>
      </c>
      <c r="H19" s="22">
        <v>48000</v>
      </c>
      <c r="I19" s="105">
        <f>SUM(B19:H19)</f>
        <v>519000</v>
      </c>
      <c r="J19" s="104"/>
      <c r="K19" s="52"/>
      <c r="L19" s="51" t="s">
        <v>170</v>
      </c>
      <c r="M19" s="51" t="s">
        <v>151</v>
      </c>
      <c r="N19" s="51" t="s">
        <v>169</v>
      </c>
      <c r="O19" s="51" t="s">
        <v>168</v>
      </c>
      <c r="P19" s="131">
        <v>7737</v>
      </c>
      <c r="Q19" s="22"/>
      <c r="R19" s="61">
        <f t="shared" si="0"/>
        <v>7737</v>
      </c>
      <c r="S19" s="61">
        <f t="shared" si="1"/>
        <v>8000</v>
      </c>
      <c r="T19" s="51"/>
    </row>
    <row r="20" spans="1:21">
      <c r="A20" s="51" t="s">
        <v>96</v>
      </c>
      <c r="B20" s="22">
        <v>33800</v>
      </c>
      <c r="C20" s="22">
        <v>28400</v>
      </c>
      <c r="D20" s="22">
        <v>41890</v>
      </c>
      <c r="E20" s="22">
        <v>245130</v>
      </c>
      <c r="F20" s="22">
        <v>60300</v>
      </c>
      <c r="G20" s="22">
        <v>52000</v>
      </c>
      <c r="H20" s="22">
        <v>48000</v>
      </c>
      <c r="I20" s="105">
        <f>SUM(B20:H20)</f>
        <v>509520</v>
      </c>
      <c r="J20" s="104"/>
      <c r="K20" s="52"/>
      <c r="L20" s="51" t="s">
        <v>167</v>
      </c>
      <c r="M20" s="51" t="s">
        <v>151</v>
      </c>
      <c r="N20" s="51" t="s">
        <v>150</v>
      </c>
      <c r="O20" s="51" t="s">
        <v>166</v>
      </c>
      <c r="P20" s="126">
        <v>4898</v>
      </c>
      <c r="Q20" s="22"/>
      <c r="R20" s="61">
        <f t="shared" si="0"/>
        <v>4898</v>
      </c>
      <c r="S20" s="61">
        <f t="shared" si="1"/>
        <v>5000</v>
      </c>
      <c r="T20" s="51"/>
    </row>
    <row r="21" spans="1:21">
      <c r="A21" s="51"/>
      <c r="B21" s="51"/>
      <c r="C21" s="51"/>
      <c r="D21" s="51"/>
      <c r="E21" s="51"/>
      <c r="F21" s="51"/>
      <c r="G21" s="99" t="s">
        <v>148</v>
      </c>
      <c r="H21" s="99" t="s">
        <v>147</v>
      </c>
      <c r="I21" s="98" t="s">
        <v>146</v>
      </c>
      <c r="K21" s="51"/>
      <c r="L21" s="51" t="s">
        <v>165</v>
      </c>
      <c r="M21" s="51" t="s">
        <v>151</v>
      </c>
      <c r="N21" s="51" t="s">
        <v>164</v>
      </c>
      <c r="O21" s="51" t="s">
        <v>163</v>
      </c>
      <c r="P21" s="126">
        <v>9000</v>
      </c>
      <c r="Q21" s="22"/>
      <c r="R21" s="61">
        <f t="shared" si="0"/>
        <v>9000</v>
      </c>
      <c r="S21" s="61">
        <f t="shared" si="1"/>
        <v>9000</v>
      </c>
      <c r="T21" s="51"/>
    </row>
    <row r="22" spans="1:21">
      <c r="A22" s="51"/>
      <c r="B22" s="51"/>
      <c r="C22" s="51"/>
      <c r="D22" s="51"/>
      <c r="E22" s="51"/>
      <c r="F22" s="51"/>
      <c r="G22" s="94">
        <f>G17+SUM(B19:H19)</f>
        <v>1691000</v>
      </c>
      <c r="H22" s="94">
        <f>SUM(H17,B20:H20)</f>
        <v>1651791</v>
      </c>
      <c r="I22" s="93">
        <f>I19-I20</f>
        <v>9480</v>
      </c>
      <c r="K22" s="51" t="s">
        <v>162</v>
      </c>
      <c r="L22" s="51" t="s">
        <v>161</v>
      </c>
      <c r="M22" s="51" t="s">
        <v>160</v>
      </c>
      <c r="N22" s="51" t="s">
        <v>159</v>
      </c>
      <c r="O22" s="51"/>
      <c r="P22" s="131">
        <v>74700</v>
      </c>
      <c r="Q22" s="22"/>
      <c r="R22" s="61">
        <f t="shared" si="0"/>
        <v>74700</v>
      </c>
      <c r="S22" s="61">
        <f t="shared" si="1"/>
        <v>75000</v>
      </c>
      <c r="T22" s="41" t="s">
        <v>691</v>
      </c>
    </row>
    <row r="23" spans="1:21">
      <c r="B23" s="75" t="s">
        <v>686</v>
      </c>
      <c r="C23" s="75" t="s">
        <v>687</v>
      </c>
      <c r="D23" s="75" t="s">
        <v>688</v>
      </c>
      <c r="E23" s="75"/>
      <c r="F23" s="75"/>
      <c r="G23" s="103"/>
      <c r="H23" s="102"/>
      <c r="I23" s="98" t="s">
        <v>28</v>
      </c>
      <c r="K23" s="51"/>
      <c r="L23" s="51" t="s">
        <v>482</v>
      </c>
      <c r="M23" s="51" t="s">
        <v>160</v>
      </c>
      <c r="N23" s="51" t="s">
        <v>433</v>
      </c>
      <c r="O23" s="51" t="s">
        <v>483</v>
      </c>
      <c r="P23" s="126">
        <v>10200</v>
      </c>
      <c r="Q23" s="22"/>
      <c r="R23" s="61">
        <f t="shared" si="0"/>
        <v>10200</v>
      </c>
      <c r="S23" s="61">
        <f t="shared" si="1"/>
        <v>11000</v>
      </c>
      <c r="T23" s="41" t="s">
        <v>353</v>
      </c>
    </row>
    <row r="24" spans="1:21">
      <c r="A24" s="51" t="s">
        <v>149</v>
      </c>
      <c r="B24" s="22"/>
      <c r="C24" s="22"/>
      <c r="D24" s="22"/>
      <c r="E24" s="22"/>
      <c r="F24" s="22"/>
      <c r="G24" s="22"/>
      <c r="H24" s="22"/>
      <c r="I24" s="100">
        <f>SUM(B24:H24)</f>
        <v>0</v>
      </c>
      <c r="K24" s="51"/>
      <c r="L24" s="51" t="s">
        <v>575</v>
      </c>
      <c r="M24" s="51" t="s">
        <v>160</v>
      </c>
      <c r="N24" s="51" t="s">
        <v>433</v>
      </c>
      <c r="O24" s="51" t="s">
        <v>163</v>
      </c>
      <c r="P24" s="126">
        <v>26400</v>
      </c>
      <c r="Q24" s="22"/>
      <c r="R24" s="61">
        <f t="shared" si="0"/>
        <v>26400</v>
      </c>
      <c r="S24" s="61">
        <f t="shared" si="1"/>
        <v>27000</v>
      </c>
      <c r="T24" s="41" t="s">
        <v>245</v>
      </c>
    </row>
    <row r="25" spans="1:21">
      <c r="A25" s="51" t="s">
        <v>96</v>
      </c>
      <c r="B25" s="22"/>
      <c r="C25" s="22"/>
      <c r="D25" s="22"/>
      <c r="E25" s="22"/>
      <c r="F25" s="22"/>
      <c r="G25" s="22"/>
      <c r="H25" s="22"/>
      <c r="I25" s="100">
        <f>SUM(B25:H25)</f>
        <v>0</v>
      </c>
      <c r="K25" s="234" t="s">
        <v>28</v>
      </c>
      <c r="L25" s="234"/>
      <c r="M25" s="234"/>
      <c r="N25" s="51"/>
      <c r="O25" s="51"/>
      <c r="P25" s="61">
        <f>SUM(P4:P24)</f>
        <v>1233956</v>
      </c>
      <c r="Q25" s="22"/>
      <c r="R25" s="61">
        <f>SUM(R4:R24)</f>
        <v>1233956</v>
      </c>
      <c r="S25" s="61">
        <f>ROUNDUP(R25,-3)</f>
        <v>1234000</v>
      </c>
      <c r="T25" s="51"/>
    </row>
    <row r="26" spans="1:21">
      <c r="A26" s="51"/>
      <c r="B26" s="51"/>
      <c r="C26" s="51"/>
      <c r="D26" s="51"/>
      <c r="E26" s="51"/>
      <c r="F26" s="51"/>
      <c r="G26" s="99" t="s">
        <v>148</v>
      </c>
      <c r="H26" s="99" t="s">
        <v>147</v>
      </c>
      <c r="I26" s="98" t="s">
        <v>146</v>
      </c>
      <c r="K26" s="235"/>
      <c r="L26" s="236"/>
      <c r="M26" s="235"/>
      <c r="P26" t="s">
        <v>362</v>
      </c>
    </row>
    <row r="27" spans="1:21">
      <c r="A27" s="51"/>
      <c r="B27" s="51"/>
      <c r="C27" s="51"/>
      <c r="D27" s="51"/>
      <c r="E27" s="51"/>
      <c r="F27" s="51"/>
      <c r="G27" s="94">
        <f>G22+SUM(B24:H24)</f>
        <v>1691000</v>
      </c>
      <c r="H27" s="94">
        <f>SUM(H22,B25:H25)</f>
        <v>1651791</v>
      </c>
      <c r="I27" s="93">
        <f>I24-I25</f>
        <v>0</v>
      </c>
      <c r="P27" t="s">
        <v>356</v>
      </c>
      <c r="T27" s="2"/>
    </row>
    <row r="28" spans="1:21">
      <c r="K28" s="66" t="s">
        <v>126</v>
      </c>
      <c r="O28" s="66" t="s">
        <v>358</v>
      </c>
      <c r="P28" t="s">
        <v>357</v>
      </c>
      <c r="S28" s="66" t="s">
        <v>144</v>
      </c>
    </row>
    <row r="29" spans="1:21">
      <c r="A29" s="41" t="s">
        <v>309</v>
      </c>
      <c r="C29" s="92">
        <v>25000</v>
      </c>
      <c r="D29" s="41" t="s">
        <v>142</v>
      </c>
      <c r="E29" s="41" t="s">
        <v>141</v>
      </c>
      <c r="F29" s="41" t="s">
        <v>140</v>
      </c>
      <c r="G29" s="41" t="s">
        <v>139</v>
      </c>
      <c r="H29" s="41" t="s">
        <v>138</v>
      </c>
      <c r="I29" s="41" t="s">
        <v>137</v>
      </c>
      <c r="K29" s="51" t="s">
        <v>98</v>
      </c>
      <c r="L29" s="51" t="s">
        <v>136</v>
      </c>
      <c r="M29" s="51" t="s">
        <v>108</v>
      </c>
      <c r="O29" s="51" t="s">
        <v>98</v>
      </c>
      <c r="P29" s="51" t="s">
        <v>108</v>
      </c>
      <c r="Q29" s="41" t="s">
        <v>117</v>
      </c>
      <c r="S29" s="51" t="s">
        <v>98</v>
      </c>
      <c r="T29" s="51" t="s">
        <v>108</v>
      </c>
      <c r="U29" s="41" t="s">
        <v>117</v>
      </c>
    </row>
    <row r="30" spans="1:21">
      <c r="A30" s="22">
        <v>200000</v>
      </c>
      <c r="C30" s="51" t="s">
        <v>97</v>
      </c>
      <c r="D30" s="91">
        <f>IFERROR(SUM(B4:H4)/A30,0)</f>
        <v>1.845</v>
      </c>
      <c r="E30" s="91">
        <f>IFERROR((SUM(B9:H9))/A31,0)</f>
        <v>1.4956521739130435</v>
      </c>
      <c r="F30" s="91">
        <f>IFERROR((SUM(B14:H14)-J46)/A32,0)</f>
        <v>1.9956521739130435</v>
      </c>
      <c r="G30" s="91">
        <f>IFERROR((SUM(B19:H19)-J46)/A33,0)</f>
        <v>2.1625000000000001</v>
      </c>
      <c r="H30" s="91">
        <f>IFERROR((SUM(B24:H24)-K46)/A34,0)</f>
        <v>0</v>
      </c>
      <c r="I30" s="61">
        <f>SUM(I7,I12,I17,I22,I27)</f>
        <v>39209</v>
      </c>
      <c r="K30" s="51" t="s">
        <v>135</v>
      </c>
      <c r="L30" s="51" t="s">
        <v>130</v>
      </c>
      <c r="M30" s="149">
        <v>150000</v>
      </c>
      <c r="O30" s="51" t="s">
        <v>360</v>
      </c>
      <c r="P30" s="149">
        <v>120000</v>
      </c>
      <c r="Q30" s="61">
        <f>ROUNDUP(P30,-3)</f>
        <v>120000</v>
      </c>
      <c r="S30" s="51" t="s">
        <v>115</v>
      </c>
      <c r="T30" s="140">
        <v>300000</v>
      </c>
      <c r="U30" s="148">
        <f>ROUNDUP(T30,-3)</f>
        <v>300000</v>
      </c>
    </row>
    <row r="31" spans="1:21">
      <c r="A31" s="22">
        <v>230000</v>
      </c>
      <c r="B31" s="2"/>
      <c r="C31" s="51" t="s">
        <v>96</v>
      </c>
      <c r="D31" s="91">
        <f>IFERROR(SUM(B5:H5)/A30,0)</f>
        <v>1.80935</v>
      </c>
      <c r="E31" s="91">
        <f>IFERROR((SUM(B10:H10))/A31,0)</f>
        <v>1.4377869565217392</v>
      </c>
      <c r="F31" s="91">
        <f>IFERROR((SUM(B15:H15)-J47)/A32,0)</f>
        <v>1.9552608695652174</v>
      </c>
      <c r="G31" s="91">
        <f>IFERROR((SUM(B20:H20)-J47)/A33,0)</f>
        <v>2.1230000000000002</v>
      </c>
      <c r="H31" s="91">
        <f>IFERROR((SUM(B25:H25)-K47)/A34,0)</f>
        <v>0</v>
      </c>
      <c r="I31" s="41" t="s">
        <v>134</v>
      </c>
      <c r="K31" s="51" t="s">
        <v>133</v>
      </c>
      <c r="L31" s="51" t="s">
        <v>130</v>
      </c>
      <c r="M31" s="149">
        <v>20000</v>
      </c>
      <c r="O31" s="51" t="s">
        <v>361</v>
      </c>
      <c r="P31" s="22"/>
      <c r="Q31" s="61">
        <f t="shared" ref="Q31:Q32" si="2">ROUNDUP(P31,-3)</f>
        <v>0</v>
      </c>
      <c r="S31"/>
    </row>
    <row r="32" spans="1:21">
      <c r="A32" s="22">
        <v>230000</v>
      </c>
      <c r="B32" s="2"/>
      <c r="C32" s="51" t="s">
        <v>132</v>
      </c>
      <c r="D32" s="90">
        <f>A30-SUM(B5:H5)</f>
        <v>-161870</v>
      </c>
      <c r="E32" s="90">
        <f>A31-SUM(B10:H10)</f>
        <v>-100691</v>
      </c>
      <c r="F32" s="90">
        <f>A32-SUM(B15:H15)</f>
        <v>-219710</v>
      </c>
      <c r="G32" s="90">
        <f>A33-SUM(B20:H20)</f>
        <v>-269520</v>
      </c>
      <c r="H32" s="90">
        <f>A34-SUM(B25:H25)</f>
        <v>100000</v>
      </c>
      <c r="I32" s="61">
        <f>G27-H27</f>
        <v>39209</v>
      </c>
      <c r="K32" s="51" t="s">
        <v>131</v>
      </c>
      <c r="L32" s="51" t="s">
        <v>130</v>
      </c>
      <c r="M32" s="149">
        <v>20000</v>
      </c>
      <c r="O32" s="51" t="s">
        <v>359</v>
      </c>
      <c r="P32" s="22"/>
      <c r="Q32" s="61">
        <f t="shared" si="2"/>
        <v>0</v>
      </c>
      <c r="S32" s="66" t="s">
        <v>125</v>
      </c>
    </row>
    <row r="33" spans="1:21">
      <c r="A33" s="22">
        <v>240000</v>
      </c>
      <c r="B33" s="2"/>
      <c r="C33" s="51" t="s">
        <v>129</v>
      </c>
      <c r="D33" s="89">
        <f>D32</f>
        <v>-161870</v>
      </c>
      <c r="E33" s="89">
        <f>D33+E32</f>
        <v>-262561</v>
      </c>
      <c r="F33" s="89">
        <f>E33+F32</f>
        <v>-482271</v>
      </c>
      <c r="G33" s="89">
        <f>F33+G32</f>
        <v>-751791</v>
      </c>
      <c r="H33" s="89">
        <f>G33+H32</f>
        <v>-651791</v>
      </c>
      <c r="I33" s="41" t="s">
        <v>110</v>
      </c>
      <c r="O33" s="81" t="s">
        <v>28</v>
      </c>
      <c r="P33" s="81">
        <f>SUM(P30:P32)</f>
        <v>120000</v>
      </c>
      <c r="Q33" s="81">
        <f>SUM(Q30:Q32)</f>
        <v>120000</v>
      </c>
      <c r="S33" s="51" t="s">
        <v>98</v>
      </c>
      <c r="T33" s="51" t="s">
        <v>108</v>
      </c>
      <c r="U33" s="41" t="s">
        <v>117</v>
      </c>
    </row>
    <row r="34" spans="1:21">
      <c r="A34" s="22">
        <v>100000</v>
      </c>
      <c r="B34" s="2"/>
      <c r="C34" s="129" t="s">
        <v>312</v>
      </c>
      <c r="I34" s="86" t="b">
        <f>IF(I30=I32,TRUE,FALSE)</f>
        <v>1</v>
      </c>
      <c r="S34" s="51" t="s">
        <v>120</v>
      </c>
      <c r="T34" s="140"/>
      <c r="U34" s="148">
        <f>ROUNDUP(T34,-3)</f>
        <v>0</v>
      </c>
    </row>
    <row r="35" spans="1:21">
      <c r="A35" s="85">
        <f>SUM(A30:A34)</f>
        <v>1000000</v>
      </c>
      <c r="B35" s="41"/>
      <c r="C35" s="41" t="s">
        <v>128</v>
      </c>
      <c r="D35" s="41" t="s">
        <v>127</v>
      </c>
      <c r="E35" s="41" t="s">
        <v>126</v>
      </c>
      <c r="F35" s="41" t="s">
        <v>125</v>
      </c>
      <c r="G35" s="41" t="s">
        <v>124</v>
      </c>
      <c r="H35" s="41" t="s">
        <v>358</v>
      </c>
      <c r="I35" s="41" t="s">
        <v>123</v>
      </c>
      <c r="J35" s="41" t="s">
        <v>16</v>
      </c>
      <c r="K35" s="41" t="s">
        <v>539</v>
      </c>
      <c r="L35" s="41" t="s">
        <v>304</v>
      </c>
      <c r="M35" s="41" t="s">
        <v>28</v>
      </c>
      <c r="N35" s="22" t="s">
        <v>121</v>
      </c>
      <c r="O35" s="22">
        <v>1200000</v>
      </c>
      <c r="P35" t="s">
        <v>369</v>
      </c>
      <c r="S35"/>
    </row>
    <row r="36" spans="1:21">
      <c r="B36" s="79" t="s">
        <v>97</v>
      </c>
      <c r="C36" s="61">
        <f>SUM(I4,I9,I14,I19,I24)</f>
        <v>1691000</v>
      </c>
      <c r="D36" s="61">
        <f>S25</f>
        <v>1234000</v>
      </c>
      <c r="E36" s="61">
        <f>SUM(M30:M32)</f>
        <v>190000</v>
      </c>
      <c r="F36" s="61">
        <f>U34</f>
        <v>0</v>
      </c>
      <c r="G36" s="61">
        <f>U30</f>
        <v>300000</v>
      </c>
      <c r="H36" s="61">
        <f>Q33</f>
        <v>120000</v>
      </c>
      <c r="I36" s="61">
        <f>U40</f>
        <v>50000</v>
      </c>
      <c r="J36" s="61">
        <f>T54</f>
        <v>0</v>
      </c>
      <c r="K36" s="61">
        <f>U48</f>
        <v>420000</v>
      </c>
      <c r="L36" s="22">
        <f>SUM(J46:P46)</f>
        <v>0</v>
      </c>
      <c r="M36" s="61">
        <f>SUM(C36:K36)+U51-L36</f>
        <v>4005000</v>
      </c>
      <c r="N36" s="33" t="s">
        <v>120</v>
      </c>
      <c r="O36" s="22">
        <v>200000</v>
      </c>
      <c r="P36" s="66" t="s">
        <v>358</v>
      </c>
      <c r="S36" s="66" t="s">
        <v>119</v>
      </c>
      <c r="T36" s="2"/>
      <c r="U36" s="2"/>
    </row>
    <row r="37" spans="1:21">
      <c r="B37" s="79" t="s">
        <v>96</v>
      </c>
      <c r="C37" s="61">
        <f>H27</f>
        <v>1651791</v>
      </c>
      <c r="D37" s="61">
        <f>R25</f>
        <v>1233956</v>
      </c>
      <c r="E37" s="61">
        <f>SUM(M30:M32)</f>
        <v>190000</v>
      </c>
      <c r="F37" s="22">
        <f>T34</f>
        <v>0</v>
      </c>
      <c r="G37" s="22">
        <f>T30</f>
        <v>300000</v>
      </c>
      <c r="H37" s="61">
        <f>P33</f>
        <v>120000</v>
      </c>
      <c r="I37" s="22">
        <f>T40</f>
        <v>50000</v>
      </c>
      <c r="J37" s="22">
        <f>T55</f>
        <v>0</v>
      </c>
      <c r="K37" s="22">
        <f>T48</f>
        <v>420000</v>
      </c>
      <c r="L37" s="22">
        <f>SUM(J47:P47)</f>
        <v>0</v>
      </c>
      <c r="M37" s="61">
        <f>SUM(C37:K37)+T51-L37</f>
        <v>3965747</v>
      </c>
      <c r="N37" s="33" t="s">
        <v>118</v>
      </c>
      <c r="O37" s="22">
        <v>800000</v>
      </c>
      <c r="P37" s="51" t="s">
        <v>98</v>
      </c>
      <c r="Q37" s="51" t="s">
        <v>108</v>
      </c>
      <c r="S37" s="51" t="s">
        <v>98</v>
      </c>
      <c r="T37" s="51" t="s">
        <v>108</v>
      </c>
      <c r="U37" s="41" t="s">
        <v>117</v>
      </c>
    </row>
    <row r="38" spans="1:21">
      <c r="C38" s="51" t="s">
        <v>116</v>
      </c>
      <c r="D38" s="22">
        <v>1200000</v>
      </c>
      <c r="N38" s="33" t="s">
        <v>115</v>
      </c>
      <c r="O38" s="22">
        <v>200000</v>
      </c>
      <c r="P38" s="51" t="s">
        <v>360</v>
      </c>
      <c r="Q38" s="22">
        <v>120000</v>
      </c>
      <c r="S38" s="51" t="s">
        <v>769</v>
      </c>
      <c r="T38" s="22">
        <v>50000</v>
      </c>
      <c r="U38" s="61">
        <f>ROUNDUP(T38,-3)</f>
        <v>50000</v>
      </c>
    </row>
    <row r="39" spans="1:21">
      <c r="L39" s="2"/>
      <c r="M39" s="82"/>
      <c r="N39" s="84"/>
      <c r="P39" s="51" t="s">
        <v>361</v>
      </c>
      <c r="Q39" s="22">
        <v>50000</v>
      </c>
      <c r="S39" s="83"/>
      <c r="T39" s="22"/>
      <c r="U39" s="61">
        <f>ROUNDUP(T39,-3)</f>
        <v>0</v>
      </c>
    </row>
    <row r="40" spans="1:21">
      <c r="B40" s="51"/>
      <c r="C40" s="41" t="s">
        <v>109</v>
      </c>
      <c r="D40" s="41" t="s">
        <v>114</v>
      </c>
      <c r="E40" s="41" t="s">
        <v>113</v>
      </c>
      <c r="F40" s="41" t="s">
        <v>110</v>
      </c>
      <c r="H40" s="41" t="s">
        <v>112</v>
      </c>
      <c r="I40" s="41" t="s">
        <v>111</v>
      </c>
      <c r="J40" s="41" t="s">
        <v>110</v>
      </c>
      <c r="M40" s="2"/>
      <c r="N40" s="2"/>
      <c r="P40" s="51" t="s">
        <v>359</v>
      </c>
      <c r="Q40" s="22">
        <v>100000</v>
      </c>
      <c r="S40" s="81" t="s">
        <v>28</v>
      </c>
      <c r="T40" s="81">
        <f>SUM(T38:T39)</f>
        <v>50000</v>
      </c>
      <c r="U40" s="81">
        <f>SUM(U38:U39)</f>
        <v>50000</v>
      </c>
    </row>
    <row r="41" spans="1:21">
      <c r="B41" s="79" t="s">
        <v>97</v>
      </c>
      <c r="C41" s="22">
        <f>C42</f>
        <v>3135740</v>
      </c>
      <c r="D41" s="61">
        <f>M36</f>
        <v>4005000</v>
      </c>
      <c r="E41" s="145">
        <f>C41-D41</f>
        <v>-869260</v>
      </c>
      <c r="F41" s="77" t="str">
        <f>IF(E41&gt;0,"SUCCESS","FAIL")</f>
        <v>FAIL</v>
      </c>
      <c r="H41" s="61">
        <f>C36-C37</f>
        <v>39209</v>
      </c>
      <c r="I41" s="61">
        <f>SUM(I7,I12,I17,I22,I27)</f>
        <v>39209</v>
      </c>
      <c r="J41" s="80" t="b">
        <f>IF(H41=I41,TRUE,FALSE)</f>
        <v>1</v>
      </c>
      <c r="P41" s="81" t="s">
        <v>28</v>
      </c>
      <c r="Q41" s="81">
        <f>SUM(Q38:Q40)</f>
        <v>270000</v>
      </c>
    </row>
    <row r="42" spans="1:21">
      <c r="B42" s="79" t="s">
        <v>96</v>
      </c>
      <c r="C42" s="22">
        <f>SUM(C47:C49)</f>
        <v>3135740</v>
      </c>
      <c r="D42" s="61">
        <f>M37</f>
        <v>3965747</v>
      </c>
      <c r="E42" s="145">
        <f>C42-D42</f>
        <v>-830007</v>
      </c>
      <c r="F42" s="77" t="str">
        <f>IF(E42&gt;0,"SUCCESS","FAIL")</f>
        <v>FAIL</v>
      </c>
      <c r="G42" t="s">
        <v>448</v>
      </c>
      <c r="O42" s="2"/>
    </row>
    <row r="43" spans="1:21">
      <c r="I43" s="64" t="s">
        <v>268</v>
      </c>
      <c r="J43" s="2"/>
      <c r="K43" s="2"/>
      <c r="L43" s="2"/>
      <c r="M43" s="2"/>
      <c r="O43" s="2"/>
      <c r="P43" s="76"/>
      <c r="S43" s="66" t="s">
        <v>539</v>
      </c>
      <c r="T43" s="2"/>
      <c r="U43" s="2"/>
    </row>
    <row r="44" spans="1:21">
      <c r="I44" s="41" t="s">
        <v>99</v>
      </c>
      <c r="J44" s="75"/>
      <c r="K44" s="41"/>
      <c r="L44" s="41"/>
      <c r="M44" s="41"/>
      <c r="N44" s="41"/>
      <c r="O44" s="41"/>
      <c r="P44" s="41"/>
      <c r="S44" s="51" t="s">
        <v>98</v>
      </c>
      <c r="T44" s="51" t="s">
        <v>108</v>
      </c>
      <c r="U44" s="41" t="s">
        <v>117</v>
      </c>
    </row>
    <row r="45" spans="1:21" ht="19.8" thickBot="1">
      <c r="B45" t="s">
        <v>109</v>
      </c>
      <c r="E45" s="111" t="s">
        <v>311</v>
      </c>
      <c r="I45" s="41" t="s">
        <v>98</v>
      </c>
      <c r="J45" s="41"/>
      <c r="K45" s="41"/>
      <c r="L45" s="41"/>
      <c r="M45" s="41"/>
      <c r="N45" s="41"/>
      <c r="O45" s="41"/>
      <c r="P45" s="41"/>
      <c r="S45" s="41">
        <v>20260606</v>
      </c>
      <c r="T45" s="33">
        <v>200000</v>
      </c>
      <c r="U45" s="159">
        <f>ROUNDUP(T45,-3)</f>
        <v>200000</v>
      </c>
    </row>
    <row r="46" spans="1:21">
      <c r="B46" s="41" t="s">
        <v>98</v>
      </c>
      <c r="C46" s="41" t="s">
        <v>108</v>
      </c>
      <c r="E46" s="74" t="s">
        <v>107</v>
      </c>
      <c r="F46" s="73" t="s">
        <v>106</v>
      </c>
      <c r="G46" s="72" t="s">
        <v>105</v>
      </c>
      <c r="I46" s="41" t="s">
        <v>97</v>
      </c>
      <c r="J46" s="33"/>
      <c r="K46" s="33"/>
      <c r="L46" s="33"/>
      <c r="M46" s="33"/>
      <c r="N46" s="33"/>
      <c r="O46" s="33"/>
      <c r="P46" s="33"/>
      <c r="S46" s="160" t="s">
        <v>689</v>
      </c>
      <c r="T46" s="33">
        <v>200000</v>
      </c>
      <c r="U46" s="159">
        <f>ROUNDUP(T46,-3)</f>
        <v>200000</v>
      </c>
    </row>
    <row r="47" spans="1:21" ht="19.8" thickBot="1">
      <c r="B47" s="51" t="s">
        <v>104</v>
      </c>
      <c r="C47" s="22">
        <v>2785740</v>
      </c>
      <c r="E47" s="70">
        <f>C36</f>
        <v>1691000</v>
      </c>
      <c r="F47" s="69">
        <f>'[1]9월'!$W$12</f>
        <v>1691000</v>
      </c>
      <c r="G47" s="68" t="b">
        <f>IF(G27='[1]9월'!$W$12,TRUE,FALSE)</f>
        <v>1</v>
      </c>
      <c r="I47" s="41" t="s">
        <v>96</v>
      </c>
      <c r="J47" s="33"/>
      <c r="K47" s="33"/>
      <c r="L47" s="33"/>
      <c r="M47" s="33"/>
      <c r="N47" s="33"/>
      <c r="O47" s="33"/>
      <c r="P47" s="33"/>
      <c r="S47" s="160" t="s">
        <v>690</v>
      </c>
      <c r="T47" s="22">
        <v>20000</v>
      </c>
      <c r="U47" s="22">
        <v>20000</v>
      </c>
    </row>
    <row r="48" spans="1:21">
      <c r="B48" s="51" t="s">
        <v>100</v>
      </c>
      <c r="C48" s="22">
        <v>50000</v>
      </c>
      <c r="S48" s="161" t="s">
        <v>28</v>
      </c>
      <c r="T48" s="161">
        <f>SUM(T45:T47)</f>
        <v>420000</v>
      </c>
      <c r="U48" s="161">
        <f>SUM(U45:U47)</f>
        <v>420000</v>
      </c>
    </row>
    <row r="49" spans="2:21">
      <c r="B49" s="51" t="s">
        <v>103</v>
      </c>
      <c r="C49" s="22">
        <v>300000</v>
      </c>
      <c r="S49" s="66" t="s">
        <v>652</v>
      </c>
    </row>
    <row r="50" spans="2:21">
      <c r="I50" s="2"/>
      <c r="S50" s="51" t="s">
        <v>98</v>
      </c>
      <c r="T50" s="51" t="s">
        <v>108</v>
      </c>
      <c r="U50" s="41" t="s">
        <v>117</v>
      </c>
    </row>
    <row r="51" spans="2:21">
      <c r="S51" s="51"/>
      <c r="T51" s="110"/>
      <c r="U51" s="61">
        <f>ROUNDUP(T51,-3)</f>
        <v>0</v>
      </c>
    </row>
    <row r="52" spans="2:21">
      <c r="B52" s="66" t="s">
        <v>16</v>
      </c>
      <c r="C52" s="2"/>
      <c r="D52" s="2"/>
      <c r="E52" s="2"/>
      <c r="F52" s="2"/>
    </row>
    <row r="53" spans="2:21">
      <c r="B53" s="41" t="s">
        <v>99</v>
      </c>
      <c r="C53" s="75"/>
      <c r="D53" s="41"/>
      <c r="E53" s="41"/>
      <c r="F53" s="41"/>
      <c r="G53" s="41"/>
      <c r="H53" s="41"/>
      <c r="I53" s="41"/>
      <c r="J53" s="49"/>
      <c r="K53" s="41"/>
      <c r="L53" s="146"/>
      <c r="M53" s="146"/>
      <c r="N53" s="146"/>
      <c r="O53" s="146"/>
      <c r="S53" s="66" t="s">
        <v>102</v>
      </c>
      <c r="T53" s="2"/>
    </row>
    <row r="54" spans="2:21">
      <c r="B54" s="41" t="s">
        <v>98</v>
      </c>
      <c r="C54" s="41"/>
      <c r="D54" s="41"/>
      <c r="E54" s="41"/>
      <c r="F54" s="41"/>
      <c r="G54" s="41"/>
      <c r="H54" s="41"/>
      <c r="I54" s="41"/>
      <c r="J54" s="49"/>
      <c r="K54" s="41"/>
      <c r="L54" s="2"/>
      <c r="M54" s="2"/>
      <c r="N54" s="2"/>
      <c r="O54" s="2"/>
      <c r="S54" s="41" t="s">
        <v>97</v>
      </c>
      <c r="T54" s="33">
        <f>SUM(C55:K55)-SUM(C61:D61)</f>
        <v>0</v>
      </c>
    </row>
    <row r="55" spans="2:21">
      <c r="B55" s="41" t="s">
        <v>97</v>
      </c>
      <c r="C55" s="33"/>
      <c r="D55" s="33"/>
      <c r="E55" s="33"/>
      <c r="F55" s="33"/>
      <c r="G55" s="33"/>
      <c r="H55" s="33"/>
      <c r="I55" s="33"/>
      <c r="J55" s="46"/>
      <c r="K55" s="33"/>
      <c r="L55" s="147"/>
      <c r="M55" s="147"/>
      <c r="N55" s="147"/>
      <c r="O55" s="147"/>
      <c r="S55" s="41" t="s">
        <v>96</v>
      </c>
      <c r="T55" s="33">
        <f>SUM(C56:K56)-SUM(C62:D62)</f>
        <v>0</v>
      </c>
    </row>
    <row r="56" spans="2:21">
      <c r="B56" s="41" t="s">
        <v>96</v>
      </c>
      <c r="C56" s="33"/>
      <c r="D56" s="33"/>
      <c r="E56" s="33"/>
      <c r="F56" s="33"/>
      <c r="G56" s="33"/>
      <c r="H56" s="33"/>
      <c r="I56" s="33"/>
      <c r="J56" s="46"/>
      <c r="K56" s="33"/>
      <c r="L56" s="147"/>
      <c r="M56" s="147"/>
      <c r="N56" s="147"/>
      <c r="O56" s="147"/>
    </row>
    <row r="58" spans="2:21">
      <c r="B58" s="66" t="s">
        <v>101</v>
      </c>
      <c r="C58" s="2"/>
      <c r="D58" s="2"/>
      <c r="F58" s="66" t="s">
        <v>100</v>
      </c>
      <c r="G58" s="2"/>
    </row>
    <row r="59" spans="2:21">
      <c r="B59" s="41" t="s">
        <v>99</v>
      </c>
      <c r="C59" s="75"/>
      <c r="D59" s="75"/>
      <c r="F59" s="41" t="s">
        <v>99</v>
      </c>
      <c r="G59" s="75"/>
      <c r="H59" s="41"/>
      <c r="I59" s="41"/>
      <c r="J59" s="41"/>
    </row>
    <row r="60" spans="2:21">
      <c r="B60" s="41" t="s">
        <v>98</v>
      </c>
      <c r="C60" s="41"/>
      <c r="D60" s="41"/>
      <c r="F60" s="41" t="s">
        <v>98</v>
      </c>
      <c r="G60" s="41"/>
      <c r="H60" s="41"/>
      <c r="I60" s="41"/>
      <c r="J60" s="41"/>
    </row>
    <row r="61" spans="2:21">
      <c r="B61" s="41" t="s">
        <v>97</v>
      </c>
      <c r="C61" s="33"/>
      <c r="D61" s="33"/>
      <c r="F61" s="41" t="s">
        <v>97</v>
      </c>
      <c r="G61" s="33"/>
      <c r="H61" s="33"/>
      <c r="I61" s="33"/>
      <c r="J61" s="33"/>
    </row>
    <row r="62" spans="2:21">
      <c r="B62" s="41" t="s">
        <v>96</v>
      </c>
      <c r="C62" s="33"/>
      <c r="D62" s="33"/>
      <c r="E62" s="2"/>
      <c r="F62" s="2"/>
    </row>
  </sheetData>
  <mergeCells count="1">
    <mergeCell ref="L1:Q2"/>
  </mergeCells>
  <phoneticPr fontId="4" type="noConversion"/>
  <conditionalFormatting sqref="F41:F42">
    <cfRule type="cellIs" dxfId="1" priority="1" operator="equal">
      <formula>"FAIL"</formula>
    </cfRule>
    <cfRule type="cellIs" dxfId="0" priority="2" operator="equal">
      <formula>"SUCCESS"</formula>
    </cfRule>
  </conditionalFormatting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예비비</vt:lpstr>
      <vt:lpstr>잔액</vt:lpstr>
      <vt:lpstr>상환비</vt:lpstr>
      <vt:lpstr>이사비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최민영</dc:creator>
  <cp:lastModifiedBy>최민영</cp:lastModifiedBy>
  <dcterms:created xsi:type="dcterms:W3CDTF">2026-01-04T08:37:20Z</dcterms:created>
  <dcterms:modified xsi:type="dcterms:W3CDTF">2026-10-02T07:14:24Z</dcterms:modified>
</cp:coreProperties>
</file>